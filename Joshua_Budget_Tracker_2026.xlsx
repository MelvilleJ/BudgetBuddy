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Log" sheetId="2" state="visible" r:id="rId4"/>
    <sheet name="Monthly Summary" sheetId="3" state="visible" r:id="rId5"/>
    <sheet name="Savings Track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<sst xmlns="http://schemas.openxmlformats.org/spreadsheetml/2006/main" count="120" uniqueCount="84">
  <si>
    <t xml:space="preserve">Monthly Budget Plan  ·  Joshua Melville  ·  2026</t>
  </si>
  <si>
    <t xml:space="preserve">Monthly Take-Home (TTD)</t>
  </si>
  <si>
    <t xml:space="preserve">← Update B2 if your income changes</t>
  </si>
  <si>
    <t xml:space="preserve">Category</t>
  </si>
  <si>
    <t xml:space="preserve">Budget (TTD)</t>
  </si>
  <si>
    <t xml:space="preserve">% of Income</t>
  </si>
  <si>
    <t xml:space="preserve">Notes</t>
  </si>
  <si>
    <t xml:space="preserve">  Fixed Commitments</t>
  </si>
  <si>
    <t xml:space="preserve">House Contribution</t>
  </si>
  <si>
    <t xml:space="preserve">Bills &amp; utilities contribution</t>
  </si>
  <si>
    <t xml:space="preserve">Credit Union</t>
  </si>
  <si>
    <t xml:space="preserve">Savings &amp; investments — auto-deducted</t>
  </si>
  <si>
    <t xml:space="preserve">Gym</t>
  </si>
  <si>
    <t xml:space="preserve">Monthly membership</t>
  </si>
  <si>
    <t xml:space="preserve">Travel</t>
  </si>
  <si>
    <t xml:space="preserve">Budgeted $500; actual range $260–$620</t>
  </si>
  <si>
    <t xml:space="preserve">Total Fixed Commitments</t>
  </si>
  <si>
    <t xml:space="preserve">  Essential Needs</t>
  </si>
  <si>
    <t xml:space="preserve">Food &amp; Dining</t>
  </si>
  <si>
    <t xml:space="preserve">Lunches, snacks, personal groceries</t>
  </si>
  <si>
    <t xml:space="preserve">Phone &amp; Data</t>
  </si>
  <si>
    <t xml:space="preserve">Mobile plan &amp; data</t>
  </si>
  <si>
    <t xml:space="preserve">Personal Care</t>
  </si>
  <si>
    <t xml:space="preserve">Grooming, supplements, hygiene</t>
  </si>
  <si>
    <t xml:space="preserve">Total Essential Needs</t>
  </si>
  <si>
    <t xml:space="preserve">  Lifestyle</t>
  </si>
  <si>
    <t xml:space="preserve">Entertainment</t>
  </si>
  <si>
    <t xml:space="preserve">Going out, streaming, gaming</t>
  </si>
  <si>
    <t xml:space="preserve">Clothing &amp; Shopping</t>
  </si>
  <si>
    <t xml:space="preserve">Clothes, gear, miscellaneous</t>
  </si>
  <si>
    <t xml:space="preserve">Total Lifestyle</t>
  </si>
  <si>
    <t xml:space="preserve">  Wealth Building</t>
  </si>
  <si>
    <t xml:space="preserve">Emergency Fund</t>
  </si>
  <si>
    <t xml:space="preserve">Target: ~$15,000 TTD (3-month buffer)</t>
  </si>
  <si>
    <t xml:space="preserve">Goals Fund</t>
  </si>
  <si>
    <t xml:space="preserve">Car, travel, future goals — remaining surplus</t>
  </si>
  <si>
    <t xml:space="preserve">Total Wealth Building</t>
  </si>
  <si>
    <t xml:space="preserve">GRAND TOTAL ALLOCATED</t>
  </si>
  <si>
    <t xml:space="preserve">Surplus / Unallocated</t>
  </si>
  <si>
    <t xml:space="preserve">  Savings &amp; Wealth-Building Summary</t>
  </si>
  <si>
    <t xml:space="preserve">Monthly (TTD)</t>
  </si>
  <si>
    <t xml:space="preserve">Annual (TTD)</t>
  </si>
  <si>
    <t xml:space="preserve">Credit Union (savings/invest)</t>
  </si>
  <si>
    <t xml:space="preserve">Emergency Fund contributions</t>
  </si>
  <si>
    <t xml:space="preserve">Goals Fund contributions</t>
  </si>
  <si>
    <t xml:space="preserve">TOTAL SAVING / BUILDING WEALTH</t>
  </si>
  <si>
    <t xml:space="preserve">  Saving 51.7% of income ($4,062/mo). Once Emergency Fund hits $15,000 TTD (~25 months), redirect the $600/mo to Credit Union.</t>
  </si>
  <si>
    <t xml:space="preserve">Expense Log  ·  2026  ·  Enter every transaction here (including fixed &amp; savings transfers)</t>
  </si>
  <si>
    <t xml:space="preserve">Date</t>
  </si>
  <si>
    <t xml:space="preserve">Month</t>
  </si>
  <si>
    <t xml:space="preserve">Year</t>
  </si>
  <si>
    <t xml:space="preserve">Description / Notes</t>
  </si>
  <si>
    <t xml:space="preserve">Amount (TTD)</t>
  </si>
  <si>
    <t xml:space="preserve">Example: monthly credit union transfer</t>
  </si>
  <si>
    <t xml:space="preserve">Monthly Summary  ·  Budget vs Actual  ·  2026</t>
  </si>
  <si>
    <t xml:space="preserve">Monthly Budget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</si>
  <si>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</si>
  <si>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</si>
  <si>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</si>
  <si>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</si>
  <si>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</si>
  <si>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</si>
  <si>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</si>
  <si>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</si>
  <si>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</si>
  <si>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</si>
  <si>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</si>
  <si>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</si>
  <si>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YTD Actual</t>
  </si>
  <si>
    <t xml:space="preserve">Annual Budget</t>
  </si>
  <si>
    <t xml:space="preserve">YTD Variance</t>
  </si>
  <si>
    <t xml:space="preserve">Other</t>
  </si>
  <si>
    <t xml:space="preserve">MONTHLY TOTAL</t>
  </si>
  <si>
    <t xml:space="preserve">Monthly income (budget)</t>
  </si>
  <si>
    <t xml:space="preserve">Over / Under budget (+under, -over)</t>
  </si>
  <si>
    <t xml:space="preserve">  Blue text = hardcoded inputs you can change. Black text = auto-calculated. Log ALL spending in the Log sheet (including Credit Union &amp; savings transfers).</t>
  </si>
  <si>
    <t xml:space="preserve">Savings &amp; Wealth-Building Tracker  ·  2026</t>
  </si>
  <si>
    <t xml:space="preserve">Total Saved</t>
  </si>
  <si>
    <t xml:space="preserve">Contributed</t>
  </si>
  <si>
    <t xml:space="preserve">Balance</t>
  </si>
  <si>
    <t xml:space="preserve">Running Total</t>
  </si>
  <si>
    <t xml:space="preserve">Year End</t>
  </si>
  <si>
    <t xml:space="preserve">  Emergency Fund target: $15,000 TTD (3-month buffer) · At $600/mo you hit this around month 25 (Feb 2028). Once reached, redirect the $600/mo to Credit Union.</t>
  </si>
  <si>
    <t xml:space="preserve">  Blue text = editable inputs. Override any month's contribution if actual amount differs from budget.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</si>
</sst>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_);\(#,##0.00\)"/>
    <numFmt numFmtId="166" formatCode="0.0%"/>
    <numFmt numFmtId="167" formatCode="dd/mm/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10"/>
      <color rgb="FF555555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7F77DD"/>
      <name val="Arial"/>
      <family val="0"/>
      <charset val="1"/>
    </font>
    <font>
      <b val="true"/>
      <sz val="9"/>
      <color rgb="FF1D9E75"/>
      <name val="Arial"/>
      <family val="0"/>
      <charset val="1"/>
    </font>
    <font>
      <b val="true"/>
      <sz val="9"/>
      <color rgb="FF185FA5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2D2B6A"/>
        <bgColor rgb="FF3A3A3A"/>
      </patternFill>
    </fill>
    <fill>
      <patternFill patternType="solid">
        <fgColor rgb="FFEEEDFE"/>
        <bgColor rgb="FFE6F1FB"/>
      </patternFill>
    </fill>
    <fill>
      <patternFill patternType="solid">
        <fgColor rgb="FF3A3A3A"/>
        <bgColor rgb="FF444444"/>
      </patternFill>
    </fill>
    <fill>
      <patternFill patternType="solid">
        <fgColor rgb="FF7F77DD"/>
        <bgColor rgb="FF888888"/>
      </patternFill>
    </fill>
    <fill>
      <patternFill patternType="solid">
        <fgColor rgb="FFFFFFFF"/>
        <bgColor rgb="FFF8F8F8"/>
      </patternFill>
    </fill>
    <fill>
      <patternFill patternType="solid">
        <fgColor rgb="FF1D9E75"/>
        <bgColor rgb="FF008080"/>
      </patternFill>
    </fill>
    <fill>
      <patternFill patternType="solid">
        <fgColor rgb="FFE1F5EE"/>
        <bgColor rgb="FFE6F1FB"/>
      </patternFill>
    </fill>
    <fill>
      <patternFill patternType="solid">
        <fgColor rgb="FFBA7517"/>
        <bgColor rgb="FFFF6600"/>
      </patternFill>
    </fill>
    <fill>
      <patternFill patternType="solid">
        <fgColor rgb="FFFAEEDA"/>
        <bgColor rgb="FFF0F4F0"/>
      </patternFill>
    </fill>
    <fill>
      <patternFill patternType="solid">
        <fgColor rgb="FF185FA5"/>
        <bgColor rgb="FF3C5A8A"/>
      </patternFill>
    </fill>
    <fill>
      <patternFill patternType="solid">
        <fgColor rgb="FFE6F1FB"/>
        <bgColor rgb="FFEEEDFE"/>
      </patternFill>
    </fill>
    <fill>
      <patternFill patternType="solid">
        <fgColor rgb="FF27500A"/>
        <bgColor rgb="FF3A3A3A"/>
      </patternFill>
    </fill>
    <fill>
      <patternFill patternType="solid">
        <fgColor rgb="FFFFFDE7"/>
        <bgColor rgb="FFF8F8F8"/>
      </patternFill>
    </fill>
    <fill>
      <patternFill patternType="solid">
        <fgColor rgb="FFF8F8F8"/>
        <bgColor rgb="FFF5F5F5"/>
      </patternFill>
    </fill>
    <fill>
      <patternFill patternType="solid">
        <fgColor rgb="FF3C5A8A"/>
        <bgColor rgb="FF185FA5"/>
      </patternFill>
    </fill>
    <fill>
      <patternFill patternType="solid">
        <fgColor rgb="FFF0F4F0"/>
        <bgColor rgb="FFF5F5F5"/>
      </patternFill>
    </fill>
    <fill>
      <patternFill patternType="solid">
        <fgColor rgb="FFF5F5F5"/>
        <bgColor rgb="FFF8F8F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0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0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8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1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1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1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9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8" fillId="1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F8F8F8"/>
      <rgbColor rgb="FF888888"/>
      <rgbColor rgb="FF7F77DD"/>
      <rgbColor rgb="FF555555"/>
      <rgbColor rgb="FFFFFDE7"/>
      <rgbColor rgb="FFE1F5EE"/>
      <rgbColor rgb="FF660066"/>
      <rgbColor rgb="FFFF8080"/>
      <rgbColor rgb="FF185FA5"/>
      <rgbColor rgb="FFEEED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F0F4F0"/>
      <rgbColor rgb="FFFAEEDA"/>
      <rgbColor rgb="FF99CCFF"/>
      <rgbColor rgb="FFFF99CC"/>
      <rgbColor rgb="FFCC99FF"/>
      <rgbColor rgb="FFF5F5F5"/>
      <rgbColor rgb="FF3C5A8A"/>
      <rgbColor rgb="FF33CCCC"/>
      <rgbColor rgb="FF99CC00"/>
      <rgbColor rgb="FFFFCC00"/>
      <rgbColor rgb="FFFF9900"/>
      <rgbColor rgb="FFFF6600"/>
      <rgbColor rgb="FF777777"/>
      <rgbColor rgb="FF999999"/>
      <rgbColor rgb="FF444444"/>
      <rgbColor rgb="FF1D9E75"/>
      <rgbColor rgb="FF003300"/>
      <rgbColor rgb="FF27500A"/>
      <rgbColor rgb="FF993300"/>
      <rgbColor rgb="FF993366"/>
      <rgbColor rgb="FF2D2B6A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2B6A"/>
    <pageSetUpPr fitToPage="false"/>
  </sheetPr>
  <dimension ref="A1:D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4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24" hidden="false" customHeight="true" outlineLevel="0" collapsed="false">
      <c r="A2" s="2" t="s">
        <v>1</v>
      </c>
      <c r="B2" s="3" t="n">
        <v>7862.36</v>
      </c>
      <c r="C2" s="4" t="n">
        <v>1</v>
      </c>
      <c r="D2" s="5" t="s">
        <v>2</v>
      </c>
    </row>
    <row r="3" customFormat="false" ht="6" hidden="false" customHeight="true" outlineLevel="0" collapsed="false"/>
    <row r="4" customFormat="false" ht="18" hidden="false" customHeight="true" outlineLevel="0" collapsed="false">
      <c r="A4" s="6" t="s">
        <v>3</v>
      </c>
      <c r="B4" s="7" t="s">
        <v>4</v>
      </c>
      <c r="C4" s="7" t="s">
        <v>5</v>
      </c>
      <c r="D4" s="6" t="s">
        <v>6</v>
      </c>
    </row>
    <row r="5" customFormat="false" ht="18" hidden="false" customHeight="true" outlineLevel="0" collapsed="false">
      <c r="A5" s="8" t="s">
        <v>7</v>
      </c>
      <c r="B5" s="8"/>
      <c r="C5" s="8"/>
      <c r="D5" s="8"/>
    </row>
    <row r="6" customFormat="false" ht="18" hidden="false" customHeight="true" outlineLevel="0" collapsed="false">
      <c r="A6" s="9" t="s">
        <v>8</v>
      </c>
      <c r="B6" s="10" t="n">
        <v>1000</v>
      </c>
      <c r="C6" s="11" t="n">
        <f aca="false">B6/$B$2</f>
        <v>0.12718827425862</v>
      </c>
      <c r="D6" s="12" t="s">
        <v>9</v>
      </c>
    </row>
    <row r="7" customFormat="false" ht="18" hidden="false" customHeight="true" outlineLevel="0" collapsed="false">
      <c r="A7" s="13" t="s">
        <v>10</v>
      </c>
      <c r="B7" s="14" t="n">
        <v>2000</v>
      </c>
      <c r="C7" s="15" t="n">
        <f aca="false">B7/$B$2</f>
        <v>0.254376548517239</v>
      </c>
      <c r="D7" s="16" t="s">
        <v>11</v>
      </c>
    </row>
    <row r="8" customFormat="false" ht="18" hidden="false" customHeight="true" outlineLevel="0" collapsed="false">
      <c r="A8" s="9" t="s">
        <v>12</v>
      </c>
      <c r="B8" s="10" t="n">
        <v>400</v>
      </c>
      <c r="C8" s="11" t="n">
        <f aca="false">B8/$B$2</f>
        <v>0.0508753097034478</v>
      </c>
      <c r="D8" s="12" t="s">
        <v>13</v>
      </c>
    </row>
    <row r="9" customFormat="false" ht="18" hidden="false" customHeight="true" outlineLevel="0" collapsed="false">
      <c r="A9" s="13" t="s">
        <v>14</v>
      </c>
      <c r="B9" s="14" t="n">
        <v>500</v>
      </c>
      <c r="C9" s="15" t="n">
        <f aca="false">B9/$B$2</f>
        <v>0.0635941371293098</v>
      </c>
      <c r="D9" s="16" t="s">
        <v>15</v>
      </c>
    </row>
    <row r="10" customFormat="false" ht="18" hidden="false" customHeight="true" outlineLevel="0" collapsed="false">
      <c r="A10" s="17" t="s">
        <v>16</v>
      </c>
      <c r="B10" s="18" t="n">
        <f aca="false">SUM(B6:B9)</f>
        <v>3900</v>
      </c>
      <c r="C10" s="19" t="n">
        <f aca="false">B10/$B$2</f>
        <v>0.496034269608616</v>
      </c>
      <c r="D10" s="20"/>
    </row>
    <row r="11" customFormat="false" ht="6" hidden="false" customHeight="true" outlineLevel="0" collapsed="false"/>
    <row r="12" customFormat="false" ht="18" hidden="false" customHeight="true" outlineLevel="0" collapsed="false">
      <c r="A12" s="21" t="s">
        <v>17</v>
      </c>
      <c r="B12" s="21"/>
      <c r="C12" s="21"/>
      <c r="D12" s="21"/>
    </row>
    <row r="13" customFormat="false" ht="18" hidden="false" customHeight="true" outlineLevel="0" collapsed="false">
      <c r="A13" s="22" t="s">
        <v>18</v>
      </c>
      <c r="B13" s="23" t="n">
        <v>750</v>
      </c>
      <c r="C13" s="24" t="n">
        <f aca="false">B13/$B$2</f>
        <v>0.0953912056939647</v>
      </c>
      <c r="D13" s="25" t="s">
        <v>19</v>
      </c>
    </row>
    <row r="14" customFormat="false" ht="18" hidden="false" customHeight="true" outlineLevel="0" collapsed="false">
      <c r="A14" s="13" t="s">
        <v>20</v>
      </c>
      <c r="B14" s="14" t="n">
        <v>200</v>
      </c>
      <c r="C14" s="15" t="n">
        <f aca="false">B14/$B$2</f>
        <v>0.0254376548517239</v>
      </c>
      <c r="D14" s="16" t="s">
        <v>21</v>
      </c>
    </row>
    <row r="15" customFormat="false" ht="18" hidden="false" customHeight="true" outlineLevel="0" collapsed="false">
      <c r="A15" s="22" t="s">
        <v>22</v>
      </c>
      <c r="B15" s="23" t="n">
        <v>250</v>
      </c>
      <c r="C15" s="24" t="n">
        <f aca="false">B15/$B$2</f>
        <v>0.0317970685646549</v>
      </c>
      <c r="D15" s="25" t="s">
        <v>23</v>
      </c>
    </row>
    <row r="16" customFormat="false" ht="18" hidden="false" customHeight="true" outlineLevel="0" collapsed="false">
      <c r="A16" s="26" t="s">
        <v>24</v>
      </c>
      <c r="B16" s="27" t="n">
        <f aca="false">SUM(B13:B15)</f>
        <v>1200</v>
      </c>
      <c r="C16" s="28" t="n">
        <f aca="false">B16/$B$2</f>
        <v>0.152625929110343</v>
      </c>
      <c r="D16" s="29"/>
    </row>
    <row r="17" customFormat="false" ht="6" hidden="false" customHeight="true" outlineLevel="0" collapsed="false"/>
    <row r="18" customFormat="false" ht="18" hidden="false" customHeight="true" outlineLevel="0" collapsed="false">
      <c r="A18" s="30" t="s">
        <v>25</v>
      </c>
      <c r="B18" s="30"/>
      <c r="C18" s="30"/>
      <c r="D18" s="30"/>
    </row>
    <row r="19" customFormat="false" ht="18" hidden="false" customHeight="true" outlineLevel="0" collapsed="false">
      <c r="A19" s="31" t="s">
        <v>26</v>
      </c>
      <c r="B19" s="32" t="n">
        <v>400</v>
      </c>
      <c r="C19" s="33" t="n">
        <f aca="false">B19/$B$2</f>
        <v>0.0508753097034478</v>
      </c>
      <c r="D19" s="34" t="s">
        <v>27</v>
      </c>
    </row>
    <row r="20" customFormat="false" ht="18" hidden="false" customHeight="true" outlineLevel="0" collapsed="false">
      <c r="A20" s="13" t="s">
        <v>28</v>
      </c>
      <c r="B20" s="14" t="n">
        <v>300</v>
      </c>
      <c r="C20" s="15" t="n">
        <f aca="false">B20/$B$2</f>
        <v>0.0381564822775859</v>
      </c>
      <c r="D20" s="16" t="s">
        <v>29</v>
      </c>
    </row>
    <row r="21" customFormat="false" ht="18" hidden="false" customHeight="true" outlineLevel="0" collapsed="false">
      <c r="A21" s="35" t="s">
        <v>30</v>
      </c>
      <c r="B21" s="36" t="n">
        <f aca="false">SUM(B19:B20)</f>
        <v>700</v>
      </c>
      <c r="C21" s="37" t="n">
        <f aca="false">B21/$B$2</f>
        <v>0.0890317919810337</v>
      </c>
      <c r="D21" s="38"/>
    </row>
    <row r="22" customFormat="false" ht="6" hidden="false" customHeight="true" outlineLevel="0" collapsed="false"/>
    <row r="23" customFormat="false" ht="18" hidden="false" customHeight="true" outlineLevel="0" collapsed="false">
      <c r="A23" s="39" t="s">
        <v>31</v>
      </c>
      <c r="B23" s="39"/>
      <c r="C23" s="39"/>
      <c r="D23" s="39"/>
    </row>
    <row r="24" customFormat="false" ht="18" hidden="false" customHeight="true" outlineLevel="0" collapsed="false">
      <c r="A24" s="40" t="s">
        <v>32</v>
      </c>
      <c r="B24" s="41" t="n">
        <v>600</v>
      </c>
      <c r="C24" s="42" t="n">
        <f aca="false">B24/$B$2</f>
        <v>0.0763129645551717</v>
      </c>
      <c r="D24" s="43" t="s">
        <v>33</v>
      </c>
    </row>
    <row r="25" customFormat="false" ht="18" hidden="false" customHeight="true" outlineLevel="0" collapsed="false">
      <c r="A25" s="13" t="s">
        <v>34</v>
      </c>
      <c r="B25" s="14" t="n">
        <v>1462.36</v>
      </c>
      <c r="C25" s="15" t="n">
        <f aca="false">B25/$B$2</f>
        <v>0.185995044744835</v>
      </c>
      <c r="D25" s="16" t="s">
        <v>35</v>
      </c>
    </row>
    <row r="26" customFormat="false" ht="18" hidden="false" customHeight="true" outlineLevel="0" collapsed="false">
      <c r="A26" s="44" t="s">
        <v>36</v>
      </c>
      <c r="B26" s="45" t="n">
        <f aca="false">SUM(B24:B25)</f>
        <v>2062.36</v>
      </c>
      <c r="C26" s="46" t="n">
        <f aca="false">B26/$B$2</f>
        <v>0.262308009300007</v>
      </c>
      <c r="D26" s="47"/>
    </row>
    <row r="27" customFormat="false" ht="6" hidden="false" customHeight="true" outlineLevel="0" collapsed="false"/>
    <row r="28" customFormat="false" ht="24" hidden="false" customHeight="true" outlineLevel="0" collapsed="false">
      <c r="A28" s="48" t="s">
        <v>37</v>
      </c>
      <c r="B28" s="49" t="n">
        <f aca="false">B10+B16+B21+B26</f>
        <v>7862.36</v>
      </c>
      <c r="C28" s="50" t="n">
        <f aca="false">B28/$B$2</f>
        <v>1</v>
      </c>
      <c r="D28" s="51"/>
    </row>
    <row r="29" customFormat="false" ht="18" hidden="false" customHeight="true" outlineLevel="0" collapsed="false">
      <c r="A29" s="52" t="s">
        <v>38</v>
      </c>
      <c r="B29" s="53" t="n">
        <f aca="false">$B$2-B28</f>
        <v>0</v>
      </c>
      <c r="C29" s="54" t="n">
        <f aca="false">B29/$B$2</f>
        <v>0</v>
      </c>
      <c r="D29" s="55"/>
    </row>
    <row r="30" customFormat="false" ht="9.75" hidden="false" customHeight="true" outlineLevel="0" collapsed="false"/>
    <row r="31" customFormat="false" ht="18" hidden="false" customHeight="true" outlineLevel="0" collapsed="false">
      <c r="A31" s="39" t="s">
        <v>39</v>
      </c>
      <c r="B31" s="39"/>
      <c r="C31" s="39"/>
      <c r="D31" s="39"/>
    </row>
    <row r="32" customFormat="false" ht="15.75" hidden="false" customHeight="true" outlineLevel="0" collapsed="false">
      <c r="A32" s="56"/>
      <c r="B32" s="57" t="s">
        <v>40</v>
      </c>
      <c r="C32" s="57" t="s">
        <v>41</v>
      </c>
      <c r="D32" s="57" t="s">
        <v>5</v>
      </c>
    </row>
    <row r="33" customFormat="false" ht="16.5" hidden="false" customHeight="true" outlineLevel="0" collapsed="false">
      <c r="A33" s="40" t="s">
        <v>42</v>
      </c>
      <c r="B33" s="58" t="n">
        <f aca="false">B7</f>
        <v>2000</v>
      </c>
      <c r="C33" s="58" t="n">
        <f aca="false">B7*12</f>
        <v>24000</v>
      </c>
      <c r="D33" s="42" t="n">
        <f aca="false">B7/$B$2</f>
        <v>0.254376548517239</v>
      </c>
    </row>
    <row r="34" customFormat="false" ht="16.5" hidden="false" customHeight="true" outlineLevel="0" collapsed="false">
      <c r="A34" s="13" t="s">
        <v>43</v>
      </c>
      <c r="B34" s="59" t="n">
        <f aca="false">B24</f>
        <v>600</v>
      </c>
      <c r="C34" s="59" t="n">
        <f aca="false">B24*12</f>
        <v>7200</v>
      </c>
      <c r="D34" s="15" t="n">
        <f aca="false">B24/$B$2</f>
        <v>0.0763129645551717</v>
      </c>
    </row>
    <row r="35" customFormat="false" ht="16.5" hidden="false" customHeight="true" outlineLevel="0" collapsed="false">
      <c r="A35" s="40" t="s">
        <v>44</v>
      </c>
      <c r="B35" s="58" t="n">
        <f aca="false">B25</f>
        <v>1462.36</v>
      </c>
      <c r="C35" s="58" t="n">
        <f aca="false">B25*12</f>
        <v>17548.32</v>
      </c>
      <c r="D35" s="42" t="n">
        <f aca="false">B25/$B$2</f>
        <v>0.185995044744835</v>
      </c>
    </row>
    <row r="36" customFormat="false" ht="18" hidden="false" customHeight="true" outlineLevel="0" collapsed="false">
      <c r="A36" s="44" t="s">
        <v>45</v>
      </c>
      <c r="B36" s="45" t="n">
        <f aca="false">B7+B24+B25</f>
        <v>4062.36</v>
      </c>
      <c r="C36" s="45" t="n">
        <f aca="false">(B7+B24+B25)*12</f>
        <v>48748.32</v>
      </c>
      <c r="D36" s="46" t="n">
        <f aca="false">(B7+B24+B25)/$B$2</f>
        <v>0.516684557817246</v>
      </c>
    </row>
    <row r="37" customFormat="false" ht="6" hidden="false" customHeight="true" outlineLevel="0" collapsed="false"/>
    <row r="38" customFormat="false" ht="30" hidden="false" customHeight="true" outlineLevel="0" collapsed="false">
      <c r="A38" s="60" t="s">
        <v>46</v>
      </c>
      <c r="B38" s="60"/>
      <c r="C38" s="60"/>
      <c r="D38" s="60"/>
    </row>
  </sheetData>
  <mergeCells count="7">
    <mergeCell ref="A1:D1"/>
    <mergeCell ref="A5:D5"/>
    <mergeCell ref="A12:D12"/>
    <mergeCell ref="A18:D18"/>
    <mergeCell ref="A23:D23"/>
    <mergeCell ref="A31:D3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F5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16"/>
  </cols>
  <sheetData>
    <row r="1" customFormat="false" ht="31.5" hidden="false" customHeight="true" outlineLevel="0" collapsed="false">
      <c r="A1" s="61" t="s">
        <v>47</v>
      </c>
      <c r="B1" s="61"/>
      <c r="C1" s="61"/>
      <c r="D1" s="61"/>
      <c r="E1" s="61"/>
      <c r="F1" s="61"/>
    </row>
    <row r="2" customFormat="false" ht="18" hidden="false" customHeight="true" outlineLevel="0" collapsed="false">
      <c r="A2" s="7" t="s">
        <v>48</v>
      </c>
      <c r="B2" s="7" t="s">
        <v>49</v>
      </c>
      <c r="C2" s="7" t="s">
        <v>50</v>
      </c>
      <c r="D2" s="6" t="s">
        <v>3</v>
      </c>
      <c r="E2" s="6" t="s">
        <v>51</v>
      </c>
      <c r="F2" s="7" t="s">
        <v>52</v>
      </c>
    </row>
    <row r="3" customFormat="false" ht="16.5" hidden="false" customHeight="true" outlineLevel="0" collapsed="false">
      <c r="A3" s="62" t="n">
        <v>46174</v>
      </c>
      <c r="B3" s="63" t="str">
        <f aca="false">IF(A3&lt;&gt;"",TEXT(A3,"mmm"),"")</f>
        <v>Jun</v>
      </c>
      <c r="C3" s="63" t="n">
        <f aca="false">IF(A3&lt;&gt;"",YEAR(A3),"")</f>
        <v>2026</v>
      </c>
      <c r="D3" s="64" t="s">
        <v>10</v>
      </c>
      <c r="E3" s="65" t="s">
        <v>53</v>
      </c>
      <c r="F3" s="66" t="n">
        <v>2000</v>
      </c>
    </row>
    <row r="4" customFormat="false" ht="16.5" hidden="false" customHeight="true" outlineLevel="0" collapsed="false">
      <c r="A4" s="67"/>
      <c r="B4" s="68" t="str">
        <f aca="false">IF(A4&lt;&gt;"",TEXT(A4,"mmm"),"")</f>
        <v/>
      </c>
      <c r="C4" s="68" t="str">
        <f aca="false">IF(A4&lt;&gt;"",YEAR(A4),"")</f>
        <v/>
      </c>
      <c r="D4" s="69"/>
      <c r="E4" s="69"/>
      <c r="F4" s="14"/>
    </row>
    <row r="5" customFormat="false" ht="16.5" hidden="false" customHeight="true" outlineLevel="0" collapsed="false">
      <c r="A5" s="70"/>
      <c r="B5" s="71" t="str">
        <f aca="false">IF(A5&lt;&gt;"",TEXT(A5,"mmm"),"")</f>
        <v/>
      </c>
      <c r="C5" s="71" t="str">
        <f aca="false">IF(A5&lt;&gt;"",YEAR(A5),"")</f>
        <v/>
      </c>
      <c r="D5" s="72"/>
      <c r="E5" s="72"/>
      <c r="F5" s="73"/>
    </row>
    <row r="6" customFormat="false" ht="16.5" hidden="false" customHeight="true" outlineLevel="0" collapsed="false">
      <c r="A6" s="67"/>
      <c r="B6" s="68" t="str">
        <f aca="false">IF(A6&lt;&gt;"",TEXT(A6,"mmm"),"")</f>
        <v/>
      </c>
      <c r="C6" s="68" t="str">
        <f aca="false">IF(A6&lt;&gt;"",YEAR(A6),"")</f>
        <v/>
      </c>
      <c r="D6" s="69"/>
      <c r="E6" s="69"/>
      <c r="F6" s="14"/>
    </row>
    <row r="7" customFormat="false" ht="16.5" hidden="false" customHeight="true" outlineLevel="0" collapsed="false">
      <c r="A7" s="70"/>
      <c r="B7" s="71" t="str">
        <f aca="false">IF(A7&lt;&gt;"",TEXT(A7,"mmm"),"")</f>
        <v/>
      </c>
      <c r="C7" s="71" t="str">
        <f aca="false">IF(A7&lt;&gt;"",YEAR(A7),"")</f>
        <v/>
      </c>
      <c r="D7" s="72"/>
      <c r="E7" s="72"/>
      <c r="F7" s="73"/>
    </row>
    <row r="8" customFormat="false" ht="16.5" hidden="false" customHeight="true" outlineLevel="0" collapsed="false">
      <c r="A8" s="67"/>
      <c r="B8" s="68" t="str">
        <f aca="false">IF(A8&lt;&gt;"",TEXT(A8,"mmm"),"")</f>
        <v/>
      </c>
      <c r="C8" s="68" t="str">
        <f aca="false">IF(A8&lt;&gt;"",YEAR(A8),"")</f>
        <v/>
      </c>
      <c r="D8" s="69"/>
      <c r="E8" s="69"/>
      <c r="F8" s="14"/>
    </row>
    <row r="9" customFormat="false" ht="16.5" hidden="false" customHeight="true" outlineLevel="0" collapsed="false">
      <c r="A9" s="70"/>
      <c r="B9" s="71" t="str">
        <f aca="false">IF(A9&lt;&gt;"",TEXT(A9,"mmm"),"")</f>
        <v/>
      </c>
      <c r="C9" s="71" t="str">
        <f aca="false">IF(A9&lt;&gt;"",YEAR(A9),"")</f>
        <v/>
      </c>
      <c r="D9" s="72"/>
      <c r="E9" s="72"/>
      <c r="F9" s="73"/>
    </row>
    <row r="10" customFormat="false" ht="16.5" hidden="false" customHeight="true" outlineLevel="0" collapsed="false">
      <c r="A10" s="67"/>
      <c r="B10" s="68" t="str">
        <f aca="false">IF(A10&lt;&gt;"",TEXT(A10,"mmm"),"")</f>
        <v/>
      </c>
      <c r="C10" s="68" t="str">
        <f aca="false">IF(A10&lt;&gt;"",YEAR(A10),"")</f>
        <v/>
      </c>
      <c r="D10" s="69"/>
      <c r="E10" s="69"/>
      <c r="F10" s="14"/>
    </row>
    <row r="11" customFormat="false" ht="16.5" hidden="false" customHeight="true" outlineLevel="0" collapsed="false">
      <c r="A11" s="70"/>
      <c r="B11" s="71" t="str">
        <f aca="false">IF(A11&lt;&gt;"",TEXT(A11,"mmm"),"")</f>
        <v/>
      </c>
      <c r="C11" s="71" t="str">
        <f aca="false">IF(A11&lt;&gt;"",YEAR(A11),"")</f>
        <v/>
      </c>
      <c r="D11" s="72"/>
      <c r="E11" s="72"/>
      <c r="F11" s="73"/>
    </row>
    <row r="12" customFormat="false" ht="16.5" hidden="false" customHeight="true" outlineLevel="0" collapsed="false">
      <c r="A12" s="67"/>
      <c r="B12" s="68" t="str">
        <f aca="false">IF(A12&lt;&gt;"",TEXT(A12,"mmm"),"")</f>
        <v/>
      </c>
      <c r="C12" s="68" t="str">
        <f aca="false">IF(A12&lt;&gt;"",YEAR(A12),"")</f>
        <v/>
      </c>
      <c r="D12" s="69"/>
      <c r="E12" s="69"/>
      <c r="F12" s="14"/>
    </row>
    <row r="13" customFormat="false" ht="16.5" hidden="false" customHeight="true" outlineLevel="0" collapsed="false">
      <c r="A13" s="70"/>
      <c r="B13" s="71" t="str">
        <f aca="false">IF(A13&lt;&gt;"",TEXT(A13,"mmm"),"")</f>
        <v/>
      </c>
      <c r="C13" s="71" t="str">
        <f aca="false">IF(A13&lt;&gt;"",YEAR(A13),"")</f>
        <v/>
      </c>
      <c r="D13" s="72"/>
      <c r="E13" s="72"/>
      <c r="F13" s="73"/>
    </row>
    <row r="14" customFormat="false" ht="16.5" hidden="false" customHeight="true" outlineLevel="0" collapsed="false">
      <c r="A14" s="67"/>
      <c r="B14" s="68" t="str">
        <f aca="false">IF(A14&lt;&gt;"",TEXT(A14,"mmm"),"")</f>
        <v/>
      </c>
      <c r="C14" s="68" t="str">
        <f aca="false">IF(A14&lt;&gt;"",YEAR(A14),"")</f>
        <v/>
      </c>
      <c r="D14" s="69"/>
      <c r="E14" s="69"/>
      <c r="F14" s="14"/>
    </row>
    <row r="15" customFormat="false" ht="16.5" hidden="false" customHeight="true" outlineLevel="0" collapsed="false">
      <c r="A15" s="70"/>
      <c r="B15" s="71" t="str">
        <f aca="false">IF(A15&lt;&gt;"",TEXT(A15,"mmm"),"")</f>
        <v/>
      </c>
      <c r="C15" s="71" t="str">
        <f aca="false">IF(A15&lt;&gt;"",YEAR(A15),"")</f>
        <v/>
      </c>
      <c r="D15" s="72"/>
      <c r="E15" s="72"/>
      <c r="F15" s="73"/>
    </row>
    <row r="16" customFormat="false" ht="16.5" hidden="false" customHeight="true" outlineLevel="0" collapsed="false">
      <c r="A16" s="67"/>
      <c r="B16" s="68" t="str">
        <f aca="false">IF(A16&lt;&gt;"",TEXT(A16,"mmm"),"")</f>
        <v/>
      </c>
      <c r="C16" s="68" t="str">
        <f aca="false">IF(A16&lt;&gt;"",YEAR(A16),"")</f>
        <v/>
      </c>
      <c r="D16" s="69"/>
      <c r="E16" s="69"/>
      <c r="F16" s="14"/>
    </row>
    <row r="17" customFormat="false" ht="16.5" hidden="false" customHeight="true" outlineLevel="0" collapsed="false">
      <c r="A17" s="70"/>
      <c r="B17" s="71" t="str">
        <f aca="false">IF(A17&lt;&gt;"",TEXT(A17,"mmm"),"")</f>
        <v/>
      </c>
      <c r="C17" s="71" t="str">
        <f aca="false">IF(A17&lt;&gt;"",YEAR(A17),"")</f>
        <v/>
      </c>
      <c r="D17" s="72"/>
      <c r="E17" s="72"/>
      <c r="F17" s="73"/>
    </row>
    <row r="18" customFormat="false" ht="16.5" hidden="false" customHeight="true" outlineLevel="0" collapsed="false">
      <c r="A18" s="67"/>
      <c r="B18" s="68" t="str">
        <f aca="false">IF(A18&lt;&gt;"",TEXT(A18,"mmm"),"")</f>
        <v/>
      </c>
      <c r="C18" s="68" t="str">
        <f aca="false">IF(A18&lt;&gt;"",YEAR(A18),"")</f>
        <v/>
      </c>
      <c r="D18" s="69"/>
      <c r="E18" s="69"/>
      <c r="F18" s="14"/>
    </row>
    <row r="19" customFormat="false" ht="16.5" hidden="false" customHeight="true" outlineLevel="0" collapsed="false">
      <c r="A19" s="70"/>
      <c r="B19" s="71" t="str">
        <f aca="false">IF(A19&lt;&gt;"",TEXT(A19,"mmm"),"")</f>
        <v/>
      </c>
      <c r="C19" s="71" t="str">
        <f aca="false">IF(A19&lt;&gt;"",YEAR(A19),"")</f>
        <v/>
      </c>
      <c r="D19" s="72"/>
      <c r="E19" s="72"/>
      <c r="F19" s="73"/>
    </row>
    <row r="20" customFormat="false" ht="16.5" hidden="false" customHeight="true" outlineLevel="0" collapsed="false">
      <c r="A20" s="67"/>
      <c r="B20" s="68" t="str">
        <f aca="false">IF(A20&lt;&gt;"",TEXT(A20,"mmm"),"")</f>
        <v/>
      </c>
      <c r="C20" s="68" t="str">
        <f aca="false">IF(A20&lt;&gt;"",YEAR(A20),"")</f>
        <v/>
      </c>
      <c r="D20" s="69"/>
      <c r="E20" s="69"/>
      <c r="F20" s="14"/>
    </row>
    <row r="21" customFormat="false" ht="16.5" hidden="false" customHeight="true" outlineLevel="0" collapsed="false">
      <c r="A21" s="70"/>
      <c r="B21" s="71" t="str">
        <f aca="false">IF(A21&lt;&gt;"",TEXT(A21,"mmm"),"")</f>
        <v/>
      </c>
      <c r="C21" s="71" t="str">
        <f aca="false">IF(A21&lt;&gt;"",YEAR(A21),"")</f>
        <v/>
      </c>
      <c r="D21" s="72"/>
      <c r="E21" s="72"/>
      <c r="F21" s="73"/>
    </row>
    <row r="22" customFormat="false" ht="16.5" hidden="false" customHeight="true" outlineLevel="0" collapsed="false">
      <c r="A22" s="67"/>
      <c r="B22" s="68" t="str">
        <f aca="false">IF(A22&lt;&gt;"",TEXT(A22,"mmm"),"")</f>
        <v/>
      </c>
      <c r="C22" s="68" t="str">
        <f aca="false">IF(A22&lt;&gt;"",YEAR(A22),"")</f>
        <v/>
      </c>
      <c r="D22" s="69"/>
      <c r="E22" s="69"/>
      <c r="F22" s="14"/>
    </row>
    <row r="23" customFormat="false" ht="16.5" hidden="false" customHeight="true" outlineLevel="0" collapsed="false">
      <c r="A23" s="70"/>
      <c r="B23" s="71" t="str">
        <f aca="false">IF(A23&lt;&gt;"",TEXT(A23,"mmm"),"")</f>
        <v/>
      </c>
      <c r="C23" s="71" t="str">
        <f aca="false">IF(A23&lt;&gt;"",YEAR(A23),"")</f>
        <v/>
      </c>
      <c r="D23" s="72"/>
      <c r="E23" s="72"/>
      <c r="F23" s="73"/>
    </row>
    <row r="24" customFormat="false" ht="16.5" hidden="false" customHeight="true" outlineLevel="0" collapsed="false">
      <c r="A24" s="67"/>
      <c r="B24" s="68" t="str">
        <f aca="false">IF(A24&lt;&gt;"",TEXT(A24,"mmm"),"")</f>
        <v/>
      </c>
      <c r="C24" s="68" t="str">
        <f aca="false">IF(A24&lt;&gt;"",YEAR(A24),"")</f>
        <v/>
      </c>
      <c r="D24" s="69"/>
      <c r="E24" s="69"/>
      <c r="F24" s="14"/>
    </row>
    <row r="25" customFormat="false" ht="16.5" hidden="false" customHeight="true" outlineLevel="0" collapsed="false">
      <c r="A25" s="70"/>
      <c r="B25" s="71" t="str">
        <f aca="false">IF(A25&lt;&gt;"",TEXT(A25,"mmm"),"")</f>
        <v/>
      </c>
      <c r="C25" s="71" t="str">
        <f aca="false">IF(A25&lt;&gt;"",YEAR(A25),"")</f>
        <v/>
      </c>
      <c r="D25" s="72"/>
      <c r="E25" s="72"/>
      <c r="F25" s="73"/>
    </row>
    <row r="26" customFormat="false" ht="16.5" hidden="false" customHeight="true" outlineLevel="0" collapsed="false">
      <c r="A26" s="67"/>
      <c r="B26" s="68" t="str">
        <f aca="false">IF(A26&lt;&gt;"",TEXT(A26,"mmm"),"")</f>
        <v/>
      </c>
      <c r="C26" s="68" t="str">
        <f aca="false">IF(A26&lt;&gt;"",YEAR(A26),"")</f>
        <v/>
      </c>
      <c r="D26" s="69"/>
      <c r="E26" s="69"/>
      <c r="F26" s="14"/>
    </row>
    <row r="27" customFormat="false" ht="16.5" hidden="false" customHeight="true" outlineLevel="0" collapsed="false">
      <c r="A27" s="70"/>
      <c r="B27" s="71" t="str">
        <f aca="false">IF(A27&lt;&gt;"",TEXT(A27,"mmm"),"")</f>
        <v/>
      </c>
      <c r="C27" s="71" t="str">
        <f aca="false">IF(A27&lt;&gt;"",YEAR(A27),"")</f>
        <v/>
      </c>
      <c r="D27" s="72"/>
      <c r="E27" s="72"/>
      <c r="F27" s="73"/>
    </row>
    <row r="28" customFormat="false" ht="16.5" hidden="false" customHeight="true" outlineLevel="0" collapsed="false">
      <c r="A28" s="67"/>
      <c r="B28" s="68" t="str">
        <f aca="false">IF(A28&lt;&gt;"",TEXT(A28,"mmm"),"")</f>
        <v/>
      </c>
      <c r="C28" s="68" t="str">
        <f aca="false">IF(A28&lt;&gt;"",YEAR(A28),"")</f>
        <v/>
      </c>
      <c r="D28" s="69"/>
      <c r="E28" s="69"/>
      <c r="F28" s="14"/>
    </row>
    <row r="29" customFormat="false" ht="16.5" hidden="false" customHeight="true" outlineLevel="0" collapsed="false">
      <c r="A29" s="70"/>
      <c r="B29" s="71" t="str">
        <f aca="false">IF(A29&lt;&gt;"",TEXT(A29,"mmm"),"")</f>
        <v/>
      </c>
      <c r="C29" s="71" t="str">
        <f aca="false">IF(A29&lt;&gt;"",YEAR(A29),"")</f>
        <v/>
      </c>
      <c r="D29" s="72"/>
      <c r="E29" s="72"/>
      <c r="F29" s="73"/>
    </row>
    <row r="30" customFormat="false" ht="16.5" hidden="false" customHeight="true" outlineLevel="0" collapsed="false">
      <c r="A30" s="67"/>
      <c r="B30" s="68" t="str">
        <f aca="false">IF(A30&lt;&gt;"",TEXT(A30,"mmm"),"")</f>
        <v/>
      </c>
      <c r="C30" s="68" t="str">
        <f aca="false">IF(A30&lt;&gt;"",YEAR(A30),"")</f>
        <v/>
      </c>
      <c r="D30" s="69"/>
      <c r="E30" s="69"/>
      <c r="F30" s="14"/>
    </row>
    <row r="31" customFormat="false" ht="16.5" hidden="false" customHeight="true" outlineLevel="0" collapsed="false">
      <c r="A31" s="70"/>
      <c r="B31" s="71" t="str">
        <f aca="false">IF(A31&lt;&gt;"",TEXT(A31,"mmm"),"")</f>
        <v/>
      </c>
      <c r="C31" s="71" t="str">
        <f aca="false">IF(A31&lt;&gt;"",YEAR(A31),"")</f>
        <v/>
      </c>
      <c r="D31" s="72"/>
      <c r="E31" s="72"/>
      <c r="F31" s="73"/>
    </row>
    <row r="32" customFormat="false" ht="16.5" hidden="false" customHeight="true" outlineLevel="0" collapsed="false">
      <c r="A32" s="67"/>
      <c r="B32" s="68" t="str">
        <f aca="false">IF(A32&lt;&gt;"",TEXT(A32,"mmm"),"")</f>
        <v/>
      </c>
      <c r="C32" s="68" t="str">
        <f aca="false">IF(A32&lt;&gt;"",YEAR(A32),"")</f>
        <v/>
      </c>
      <c r="D32" s="69"/>
      <c r="E32" s="69"/>
      <c r="F32" s="14"/>
    </row>
    <row r="33" customFormat="false" ht="16.5" hidden="false" customHeight="true" outlineLevel="0" collapsed="false">
      <c r="A33" s="70"/>
      <c r="B33" s="71" t="str">
        <f aca="false">IF(A33&lt;&gt;"",TEXT(A33,"mmm"),"")</f>
        <v/>
      </c>
      <c r="C33" s="71" t="str">
        <f aca="false">IF(A33&lt;&gt;"",YEAR(A33),"")</f>
        <v/>
      </c>
      <c r="D33" s="72"/>
      <c r="E33" s="72"/>
      <c r="F33" s="73"/>
    </row>
    <row r="34" customFormat="false" ht="16.5" hidden="false" customHeight="true" outlineLevel="0" collapsed="false">
      <c r="A34" s="67"/>
      <c r="B34" s="68" t="str">
        <f aca="false">IF(A34&lt;&gt;"",TEXT(A34,"mmm"),"")</f>
        <v/>
      </c>
      <c r="C34" s="68" t="str">
        <f aca="false">IF(A34&lt;&gt;"",YEAR(A34),"")</f>
        <v/>
      </c>
      <c r="D34" s="69"/>
      <c r="E34" s="69"/>
      <c r="F34" s="14"/>
    </row>
    <row r="35" customFormat="false" ht="16.5" hidden="false" customHeight="true" outlineLevel="0" collapsed="false">
      <c r="A35" s="70"/>
      <c r="B35" s="71" t="str">
        <f aca="false">IF(A35&lt;&gt;"",TEXT(A35,"mmm"),"")</f>
        <v/>
      </c>
      <c r="C35" s="71" t="str">
        <f aca="false">IF(A35&lt;&gt;"",YEAR(A35),"")</f>
        <v/>
      </c>
      <c r="D35" s="72"/>
      <c r="E35" s="72"/>
      <c r="F35" s="73"/>
    </row>
    <row r="36" customFormat="false" ht="16.5" hidden="false" customHeight="true" outlineLevel="0" collapsed="false">
      <c r="A36" s="67"/>
      <c r="B36" s="68" t="str">
        <f aca="false">IF(A36&lt;&gt;"",TEXT(A36,"mmm"),"")</f>
        <v/>
      </c>
      <c r="C36" s="68" t="str">
        <f aca="false">IF(A36&lt;&gt;"",YEAR(A36),"")</f>
        <v/>
      </c>
      <c r="D36" s="69"/>
      <c r="E36" s="69"/>
      <c r="F36" s="14"/>
    </row>
    <row r="37" customFormat="false" ht="16.5" hidden="false" customHeight="true" outlineLevel="0" collapsed="false">
      <c r="A37" s="70"/>
      <c r="B37" s="71" t="str">
        <f aca="false">IF(A37&lt;&gt;"",TEXT(A37,"mmm"),"")</f>
        <v/>
      </c>
      <c r="C37" s="71" t="str">
        <f aca="false">IF(A37&lt;&gt;"",YEAR(A37),"")</f>
        <v/>
      </c>
      <c r="D37" s="72"/>
      <c r="E37" s="72"/>
      <c r="F37" s="73"/>
    </row>
    <row r="38" customFormat="false" ht="16.5" hidden="false" customHeight="true" outlineLevel="0" collapsed="false">
      <c r="A38" s="67"/>
      <c r="B38" s="68" t="str">
        <f aca="false">IF(A38&lt;&gt;"",TEXT(A38,"mmm"),"")</f>
        <v/>
      </c>
      <c r="C38" s="68" t="str">
        <f aca="false">IF(A38&lt;&gt;"",YEAR(A38),"")</f>
        <v/>
      </c>
      <c r="D38" s="69"/>
      <c r="E38" s="69"/>
      <c r="F38" s="14"/>
    </row>
    <row r="39" customFormat="false" ht="16.5" hidden="false" customHeight="true" outlineLevel="0" collapsed="false">
      <c r="A39" s="70"/>
      <c r="B39" s="71" t="str">
        <f aca="false">IF(A39&lt;&gt;"",TEXT(A39,"mmm"),"")</f>
        <v/>
      </c>
      <c r="C39" s="71" t="str">
        <f aca="false">IF(A39&lt;&gt;"",YEAR(A39),"")</f>
        <v/>
      </c>
      <c r="D39" s="72"/>
      <c r="E39" s="72"/>
      <c r="F39" s="73"/>
    </row>
    <row r="40" customFormat="false" ht="16.5" hidden="false" customHeight="true" outlineLevel="0" collapsed="false">
      <c r="A40" s="67"/>
      <c r="B40" s="68" t="str">
        <f aca="false">IF(A40&lt;&gt;"",TEXT(A40,"mmm"),"")</f>
        <v/>
      </c>
      <c r="C40" s="68" t="str">
        <f aca="false">IF(A40&lt;&gt;"",YEAR(A40),"")</f>
        <v/>
      </c>
      <c r="D40" s="69"/>
      <c r="E40" s="69"/>
      <c r="F40" s="14"/>
    </row>
    <row r="41" customFormat="false" ht="16.5" hidden="false" customHeight="true" outlineLevel="0" collapsed="false">
      <c r="A41" s="70"/>
      <c r="B41" s="71" t="str">
        <f aca="false">IF(A41&lt;&gt;"",TEXT(A41,"mmm"),"")</f>
        <v/>
      </c>
      <c r="C41" s="71" t="str">
        <f aca="false">IF(A41&lt;&gt;"",YEAR(A41),"")</f>
        <v/>
      </c>
      <c r="D41" s="72"/>
      <c r="E41" s="72"/>
      <c r="F41" s="73"/>
    </row>
    <row r="42" customFormat="false" ht="16.5" hidden="false" customHeight="true" outlineLevel="0" collapsed="false">
      <c r="A42" s="67"/>
      <c r="B42" s="68" t="str">
        <f aca="false">IF(A42&lt;&gt;"",TEXT(A42,"mmm"),"")</f>
        <v/>
      </c>
      <c r="C42" s="68" t="str">
        <f aca="false">IF(A42&lt;&gt;"",YEAR(A42),"")</f>
        <v/>
      </c>
      <c r="D42" s="69"/>
      <c r="E42" s="69"/>
      <c r="F42" s="14"/>
    </row>
    <row r="43" customFormat="false" ht="16.5" hidden="false" customHeight="true" outlineLevel="0" collapsed="false">
      <c r="A43" s="70"/>
      <c r="B43" s="71" t="str">
        <f aca="false">IF(A43&lt;&gt;"",TEXT(A43,"mmm"),"")</f>
        <v/>
      </c>
      <c r="C43" s="71" t="str">
        <f aca="false">IF(A43&lt;&gt;"",YEAR(A43),"")</f>
        <v/>
      </c>
      <c r="D43" s="72"/>
      <c r="E43" s="72"/>
      <c r="F43" s="73"/>
    </row>
    <row r="44" customFormat="false" ht="16.5" hidden="false" customHeight="true" outlineLevel="0" collapsed="false">
      <c r="A44" s="67"/>
      <c r="B44" s="68" t="str">
        <f aca="false">IF(A44&lt;&gt;"",TEXT(A44,"mmm"),"")</f>
        <v/>
      </c>
      <c r="C44" s="68" t="str">
        <f aca="false">IF(A44&lt;&gt;"",YEAR(A44),"")</f>
        <v/>
      </c>
      <c r="D44" s="69"/>
      <c r="E44" s="69"/>
      <c r="F44" s="14"/>
    </row>
    <row r="45" customFormat="false" ht="16.5" hidden="false" customHeight="true" outlineLevel="0" collapsed="false">
      <c r="A45" s="70"/>
      <c r="B45" s="71" t="str">
        <f aca="false">IF(A45&lt;&gt;"",TEXT(A45,"mmm"),"")</f>
        <v/>
      </c>
      <c r="C45" s="71" t="str">
        <f aca="false">IF(A45&lt;&gt;"",YEAR(A45),"")</f>
        <v/>
      </c>
      <c r="D45" s="72"/>
      <c r="E45" s="72"/>
      <c r="F45" s="73"/>
    </row>
    <row r="46" customFormat="false" ht="16.5" hidden="false" customHeight="true" outlineLevel="0" collapsed="false">
      <c r="A46" s="67"/>
      <c r="B46" s="68" t="str">
        <f aca="false">IF(A46&lt;&gt;"",TEXT(A46,"mmm"),"")</f>
        <v/>
      </c>
      <c r="C46" s="68" t="str">
        <f aca="false">IF(A46&lt;&gt;"",YEAR(A46),"")</f>
        <v/>
      </c>
      <c r="D46" s="69"/>
      <c r="E46" s="69"/>
      <c r="F46" s="14"/>
    </row>
    <row r="47" customFormat="false" ht="16.5" hidden="false" customHeight="true" outlineLevel="0" collapsed="false">
      <c r="A47" s="70"/>
      <c r="B47" s="71" t="str">
        <f aca="false">IF(A47&lt;&gt;"",TEXT(A47,"mmm"),"")</f>
        <v/>
      </c>
      <c r="C47" s="71" t="str">
        <f aca="false">IF(A47&lt;&gt;"",YEAR(A47),"")</f>
        <v/>
      </c>
      <c r="D47" s="72"/>
      <c r="E47" s="72"/>
      <c r="F47" s="73"/>
    </row>
    <row r="48" customFormat="false" ht="16.5" hidden="false" customHeight="true" outlineLevel="0" collapsed="false">
      <c r="A48" s="67"/>
      <c r="B48" s="68" t="str">
        <f aca="false">IF(A48&lt;&gt;"",TEXT(A48,"mmm"),"")</f>
        <v/>
      </c>
      <c r="C48" s="68" t="str">
        <f aca="false">IF(A48&lt;&gt;"",YEAR(A48),"")</f>
        <v/>
      </c>
      <c r="D48" s="69"/>
      <c r="E48" s="69"/>
      <c r="F48" s="14"/>
    </row>
    <row r="49" customFormat="false" ht="16.5" hidden="false" customHeight="true" outlineLevel="0" collapsed="false">
      <c r="A49" s="70"/>
      <c r="B49" s="71" t="str">
        <f aca="false">IF(A49&lt;&gt;"",TEXT(A49,"mmm"),"")</f>
        <v/>
      </c>
      <c r="C49" s="71" t="str">
        <f aca="false">IF(A49&lt;&gt;"",YEAR(A49),"")</f>
        <v/>
      </c>
      <c r="D49" s="72"/>
      <c r="E49" s="72"/>
      <c r="F49" s="73"/>
    </row>
    <row r="50" customFormat="false" ht="16.5" hidden="false" customHeight="true" outlineLevel="0" collapsed="false">
      <c r="A50" s="67"/>
      <c r="B50" s="68" t="str">
        <f aca="false">IF(A50&lt;&gt;"",TEXT(A50,"mmm"),"")</f>
        <v/>
      </c>
      <c r="C50" s="68" t="str">
        <f aca="false">IF(A50&lt;&gt;"",YEAR(A50),"")</f>
        <v/>
      </c>
      <c r="D50" s="69"/>
      <c r="E50" s="69"/>
      <c r="F50" s="14"/>
    </row>
    <row r="51" customFormat="false" ht="16.5" hidden="false" customHeight="true" outlineLevel="0" collapsed="false">
      <c r="A51" s="70"/>
      <c r="B51" s="71" t="str">
        <f aca="false">IF(A51&lt;&gt;"",TEXT(A51,"mmm"),"")</f>
        <v/>
      </c>
      <c r="C51" s="71" t="str">
        <f aca="false">IF(A51&lt;&gt;"",YEAR(A51),"")</f>
        <v/>
      </c>
      <c r="D51" s="72"/>
      <c r="E51" s="72"/>
      <c r="F51" s="73"/>
    </row>
    <row r="52" customFormat="false" ht="16.5" hidden="false" customHeight="true" outlineLevel="0" collapsed="false">
      <c r="A52" s="67"/>
      <c r="B52" s="68" t="str">
        <f aca="false">IF(A52&lt;&gt;"",TEXT(A52,"mmm"),"")</f>
        <v/>
      </c>
      <c r="C52" s="68" t="str">
        <f aca="false">IF(A52&lt;&gt;"",YEAR(A52),"")</f>
        <v/>
      </c>
      <c r="D52" s="69"/>
      <c r="E52" s="69"/>
      <c r="F52" s="14"/>
    </row>
    <row r="53" customFormat="false" ht="16.5" hidden="false" customHeight="true" outlineLevel="0" collapsed="false">
      <c r="A53" s="70"/>
      <c r="B53" s="71" t="str">
        <f aca="false">IF(A53&lt;&gt;"",TEXT(A53,"mmm"),"")</f>
        <v/>
      </c>
      <c r="C53" s="71" t="str">
        <f aca="false">IF(A53&lt;&gt;"",YEAR(A53),"")</f>
        <v/>
      </c>
      <c r="D53" s="72"/>
      <c r="E53" s="72"/>
      <c r="F53" s="73"/>
    </row>
    <row r="54" customFormat="false" ht="16.5" hidden="false" customHeight="true" outlineLevel="0" collapsed="false">
      <c r="A54" s="67"/>
      <c r="B54" s="68" t="str">
        <f aca="false">IF(A54&lt;&gt;"",TEXT(A54,"mmm"),"")</f>
        <v/>
      </c>
      <c r="C54" s="68" t="str">
        <f aca="false">IF(A54&lt;&gt;"",YEAR(A54),"")</f>
        <v/>
      </c>
      <c r="D54" s="69"/>
      <c r="E54" s="69"/>
      <c r="F54" s="14"/>
    </row>
    <row r="55" customFormat="false" ht="16.5" hidden="false" customHeight="true" outlineLevel="0" collapsed="false">
      <c r="A55" s="70"/>
      <c r="B55" s="71" t="str">
        <f aca="false">IF(A55&lt;&gt;"",TEXT(A55,"mmm"),"")</f>
        <v/>
      </c>
      <c r="C55" s="71" t="str">
        <f aca="false">IF(A55&lt;&gt;"",YEAR(A55),"")</f>
        <v/>
      </c>
      <c r="D55" s="72"/>
      <c r="E55" s="72"/>
      <c r="F55" s="73"/>
    </row>
    <row r="56" customFormat="false" ht="16.5" hidden="false" customHeight="true" outlineLevel="0" collapsed="false">
      <c r="A56" s="67"/>
      <c r="B56" s="68" t="str">
        <f aca="false">IF(A56&lt;&gt;"",TEXT(A56,"mmm"),"")</f>
        <v/>
      </c>
      <c r="C56" s="68" t="str">
        <f aca="false">IF(A56&lt;&gt;"",YEAR(A56),"")</f>
        <v/>
      </c>
      <c r="D56" s="69"/>
      <c r="E56" s="69"/>
      <c r="F56" s="14"/>
    </row>
    <row r="57" customFormat="false" ht="16.5" hidden="false" customHeight="true" outlineLevel="0" collapsed="false">
      <c r="A57" s="70"/>
      <c r="B57" s="71" t="str">
        <f aca="false">IF(A57&lt;&gt;"",TEXT(A57,"mmm"),"")</f>
        <v/>
      </c>
      <c r="C57" s="71" t="str">
        <f aca="false">IF(A57&lt;&gt;"",YEAR(A57),"")</f>
        <v/>
      </c>
      <c r="D57" s="72"/>
      <c r="E57" s="72"/>
      <c r="F57" s="73"/>
    </row>
    <row r="58" customFormat="false" ht="16.5" hidden="false" customHeight="true" outlineLevel="0" collapsed="false">
      <c r="A58" s="67"/>
      <c r="B58" s="68" t="str">
        <f aca="false">IF(A58&lt;&gt;"",TEXT(A58,"mmm"),"")</f>
        <v/>
      </c>
      <c r="C58" s="68" t="str">
        <f aca="false">IF(A58&lt;&gt;"",YEAR(A58),"")</f>
        <v/>
      </c>
      <c r="D58" s="69"/>
      <c r="E58" s="69"/>
      <c r="F58" s="14"/>
    </row>
    <row r="59" customFormat="false" ht="16.5" hidden="false" customHeight="true" outlineLevel="0" collapsed="false">
      <c r="A59" s="70"/>
      <c r="B59" s="71" t="str">
        <f aca="false">IF(A59&lt;&gt;"",TEXT(A59,"mmm"),"")</f>
        <v/>
      </c>
      <c r="C59" s="71" t="str">
        <f aca="false">IF(A59&lt;&gt;"",YEAR(A59),"")</f>
        <v/>
      </c>
      <c r="D59" s="72"/>
      <c r="E59" s="72"/>
      <c r="F59" s="73"/>
    </row>
    <row r="60" customFormat="false" ht="16.5" hidden="false" customHeight="true" outlineLevel="0" collapsed="false">
      <c r="A60" s="67"/>
      <c r="B60" s="68" t="str">
        <f aca="false">IF(A60&lt;&gt;"",TEXT(A60,"mmm"),"")</f>
        <v/>
      </c>
      <c r="C60" s="68" t="str">
        <f aca="false">IF(A60&lt;&gt;"",YEAR(A60),"")</f>
        <v/>
      </c>
      <c r="D60" s="69"/>
      <c r="E60" s="69"/>
      <c r="F60" s="14"/>
    </row>
    <row r="61" customFormat="false" ht="16.5" hidden="false" customHeight="true" outlineLevel="0" collapsed="false">
      <c r="A61" s="70"/>
      <c r="B61" s="71" t="str">
        <f aca="false">IF(A61&lt;&gt;"",TEXT(A61,"mmm"),"")</f>
        <v/>
      </c>
      <c r="C61" s="71" t="str">
        <f aca="false">IF(A61&lt;&gt;"",YEAR(A61),"")</f>
        <v/>
      </c>
      <c r="D61" s="72"/>
      <c r="E61" s="72"/>
      <c r="F61" s="73"/>
    </row>
    <row r="62" customFormat="false" ht="16.5" hidden="false" customHeight="true" outlineLevel="0" collapsed="false">
      <c r="A62" s="67"/>
      <c r="B62" s="68" t="str">
        <f aca="false">IF(A62&lt;&gt;"",TEXT(A62,"mmm"),"")</f>
        <v/>
      </c>
      <c r="C62" s="68" t="str">
        <f aca="false">IF(A62&lt;&gt;"",YEAR(A62),"")</f>
        <v/>
      </c>
      <c r="D62" s="69"/>
      <c r="E62" s="69"/>
      <c r="F62" s="14"/>
    </row>
    <row r="63" customFormat="false" ht="16.5" hidden="false" customHeight="true" outlineLevel="0" collapsed="false">
      <c r="A63" s="70"/>
      <c r="B63" s="71" t="str">
        <f aca="false">IF(A63&lt;&gt;"",TEXT(A63,"mmm"),"")</f>
        <v/>
      </c>
      <c r="C63" s="71" t="str">
        <f aca="false">IF(A63&lt;&gt;"",YEAR(A63),"")</f>
        <v/>
      </c>
      <c r="D63" s="72"/>
      <c r="E63" s="72"/>
      <c r="F63" s="73"/>
    </row>
    <row r="64" customFormat="false" ht="16.5" hidden="false" customHeight="true" outlineLevel="0" collapsed="false">
      <c r="A64" s="67"/>
      <c r="B64" s="68" t="str">
        <f aca="false">IF(A64&lt;&gt;"",TEXT(A64,"mmm"),"")</f>
        <v/>
      </c>
      <c r="C64" s="68" t="str">
        <f aca="false">IF(A64&lt;&gt;"",YEAR(A64),"")</f>
        <v/>
      </c>
      <c r="D64" s="69"/>
      <c r="E64" s="69"/>
      <c r="F64" s="14"/>
    </row>
    <row r="65" customFormat="false" ht="16.5" hidden="false" customHeight="true" outlineLevel="0" collapsed="false">
      <c r="A65" s="70"/>
      <c r="B65" s="71" t="str">
        <f aca="false">IF(A65&lt;&gt;"",TEXT(A65,"mmm"),"")</f>
        <v/>
      </c>
      <c r="C65" s="71" t="str">
        <f aca="false">IF(A65&lt;&gt;"",YEAR(A65),"")</f>
        <v/>
      </c>
      <c r="D65" s="72"/>
      <c r="E65" s="72"/>
      <c r="F65" s="73"/>
    </row>
    <row r="66" customFormat="false" ht="16.5" hidden="false" customHeight="true" outlineLevel="0" collapsed="false">
      <c r="A66" s="67"/>
      <c r="B66" s="68" t="str">
        <f aca="false">IF(A66&lt;&gt;"",TEXT(A66,"mmm"),"")</f>
        <v/>
      </c>
      <c r="C66" s="68" t="str">
        <f aca="false">IF(A66&lt;&gt;"",YEAR(A66),"")</f>
        <v/>
      </c>
      <c r="D66" s="69"/>
      <c r="E66" s="69"/>
      <c r="F66" s="14"/>
    </row>
    <row r="67" customFormat="false" ht="16.5" hidden="false" customHeight="true" outlineLevel="0" collapsed="false">
      <c r="A67" s="70"/>
      <c r="B67" s="71" t="str">
        <f aca="false">IF(A67&lt;&gt;"",TEXT(A67,"mmm"),"")</f>
        <v/>
      </c>
      <c r="C67" s="71" t="str">
        <f aca="false">IF(A67&lt;&gt;"",YEAR(A67),"")</f>
        <v/>
      </c>
      <c r="D67" s="72"/>
      <c r="E67" s="72"/>
      <c r="F67" s="73"/>
    </row>
    <row r="68" customFormat="false" ht="16.5" hidden="false" customHeight="true" outlineLevel="0" collapsed="false">
      <c r="A68" s="67"/>
      <c r="B68" s="68" t="str">
        <f aca="false">IF(A68&lt;&gt;"",TEXT(A68,"mmm"),"")</f>
        <v/>
      </c>
      <c r="C68" s="68" t="str">
        <f aca="false">IF(A68&lt;&gt;"",YEAR(A68),"")</f>
        <v/>
      </c>
      <c r="D68" s="69"/>
      <c r="E68" s="69"/>
      <c r="F68" s="14"/>
    </row>
    <row r="69" customFormat="false" ht="16.5" hidden="false" customHeight="true" outlineLevel="0" collapsed="false">
      <c r="A69" s="70"/>
      <c r="B69" s="71" t="str">
        <f aca="false">IF(A69&lt;&gt;"",TEXT(A69,"mmm"),"")</f>
        <v/>
      </c>
      <c r="C69" s="71" t="str">
        <f aca="false">IF(A69&lt;&gt;"",YEAR(A69),"")</f>
        <v/>
      </c>
      <c r="D69" s="72"/>
      <c r="E69" s="72"/>
      <c r="F69" s="73"/>
    </row>
    <row r="70" customFormat="false" ht="16.5" hidden="false" customHeight="true" outlineLevel="0" collapsed="false">
      <c r="A70" s="67"/>
      <c r="B70" s="68" t="str">
        <f aca="false">IF(A70&lt;&gt;"",TEXT(A70,"mmm"),"")</f>
        <v/>
      </c>
      <c r="C70" s="68" t="str">
        <f aca="false">IF(A70&lt;&gt;"",YEAR(A70),"")</f>
        <v/>
      </c>
      <c r="D70" s="69"/>
      <c r="E70" s="69"/>
      <c r="F70" s="14"/>
    </row>
    <row r="71" customFormat="false" ht="16.5" hidden="false" customHeight="true" outlineLevel="0" collapsed="false">
      <c r="A71" s="70"/>
      <c r="B71" s="71" t="str">
        <f aca="false">IF(A71&lt;&gt;"",TEXT(A71,"mmm"),"")</f>
        <v/>
      </c>
      <c r="C71" s="71" t="str">
        <f aca="false">IF(A71&lt;&gt;"",YEAR(A71),"")</f>
        <v/>
      </c>
      <c r="D71" s="72"/>
      <c r="E71" s="72"/>
      <c r="F71" s="73"/>
    </row>
    <row r="72" customFormat="false" ht="16.5" hidden="false" customHeight="true" outlineLevel="0" collapsed="false">
      <c r="A72" s="67"/>
      <c r="B72" s="68" t="str">
        <f aca="false">IF(A72&lt;&gt;"",TEXT(A72,"mmm"),"")</f>
        <v/>
      </c>
      <c r="C72" s="68" t="str">
        <f aca="false">IF(A72&lt;&gt;"",YEAR(A72),"")</f>
        <v/>
      </c>
      <c r="D72" s="69"/>
      <c r="E72" s="69"/>
      <c r="F72" s="14"/>
    </row>
    <row r="73" customFormat="false" ht="16.5" hidden="false" customHeight="true" outlineLevel="0" collapsed="false">
      <c r="A73" s="70"/>
      <c r="B73" s="71" t="str">
        <f aca="false">IF(A73&lt;&gt;"",TEXT(A73,"mmm"),"")</f>
        <v/>
      </c>
      <c r="C73" s="71" t="str">
        <f aca="false">IF(A73&lt;&gt;"",YEAR(A73),"")</f>
        <v/>
      </c>
      <c r="D73" s="72"/>
      <c r="E73" s="72"/>
      <c r="F73" s="73"/>
    </row>
    <row r="74" customFormat="false" ht="16.5" hidden="false" customHeight="true" outlineLevel="0" collapsed="false">
      <c r="A74" s="67"/>
      <c r="B74" s="68" t="str">
        <f aca="false">IF(A74&lt;&gt;"",TEXT(A74,"mmm"),"")</f>
        <v/>
      </c>
      <c r="C74" s="68" t="str">
        <f aca="false">IF(A74&lt;&gt;"",YEAR(A74),"")</f>
        <v/>
      </c>
      <c r="D74" s="69"/>
      <c r="E74" s="69"/>
      <c r="F74" s="14"/>
    </row>
    <row r="75" customFormat="false" ht="16.5" hidden="false" customHeight="true" outlineLevel="0" collapsed="false">
      <c r="A75" s="70"/>
      <c r="B75" s="71" t="str">
        <f aca="false">IF(A75&lt;&gt;"",TEXT(A75,"mmm"),"")</f>
        <v/>
      </c>
      <c r="C75" s="71" t="str">
        <f aca="false">IF(A75&lt;&gt;"",YEAR(A75),"")</f>
        <v/>
      </c>
      <c r="D75" s="72"/>
      <c r="E75" s="72"/>
      <c r="F75" s="73"/>
    </row>
    <row r="76" customFormat="false" ht="16.5" hidden="false" customHeight="true" outlineLevel="0" collapsed="false">
      <c r="A76" s="67"/>
      <c r="B76" s="68" t="str">
        <f aca="false">IF(A76&lt;&gt;"",TEXT(A76,"mmm"),"")</f>
        <v/>
      </c>
      <c r="C76" s="68" t="str">
        <f aca="false">IF(A76&lt;&gt;"",YEAR(A76),"")</f>
        <v/>
      </c>
      <c r="D76" s="69"/>
      <c r="E76" s="69"/>
      <c r="F76" s="14"/>
    </row>
    <row r="77" customFormat="false" ht="16.5" hidden="false" customHeight="true" outlineLevel="0" collapsed="false">
      <c r="A77" s="70"/>
      <c r="B77" s="71" t="str">
        <f aca="false">IF(A77&lt;&gt;"",TEXT(A77,"mmm"),"")</f>
        <v/>
      </c>
      <c r="C77" s="71" t="str">
        <f aca="false">IF(A77&lt;&gt;"",YEAR(A77),"")</f>
        <v/>
      </c>
      <c r="D77" s="72"/>
      <c r="E77" s="72"/>
      <c r="F77" s="73"/>
    </row>
    <row r="78" customFormat="false" ht="16.5" hidden="false" customHeight="true" outlineLevel="0" collapsed="false">
      <c r="A78" s="67"/>
      <c r="B78" s="68" t="str">
        <f aca="false">IF(A78&lt;&gt;"",TEXT(A78,"mmm"),"")</f>
        <v/>
      </c>
      <c r="C78" s="68" t="str">
        <f aca="false">IF(A78&lt;&gt;"",YEAR(A78),"")</f>
        <v/>
      </c>
      <c r="D78" s="69"/>
      <c r="E78" s="69"/>
      <c r="F78" s="14"/>
    </row>
    <row r="79" customFormat="false" ht="16.5" hidden="false" customHeight="true" outlineLevel="0" collapsed="false">
      <c r="A79" s="70"/>
      <c r="B79" s="71" t="str">
        <f aca="false">IF(A79&lt;&gt;"",TEXT(A79,"mmm"),"")</f>
        <v/>
      </c>
      <c r="C79" s="71" t="str">
        <f aca="false">IF(A79&lt;&gt;"",YEAR(A79),"")</f>
        <v/>
      </c>
      <c r="D79" s="72"/>
      <c r="E79" s="72"/>
      <c r="F79" s="73"/>
    </row>
    <row r="80" customFormat="false" ht="16.5" hidden="false" customHeight="true" outlineLevel="0" collapsed="false">
      <c r="A80" s="67"/>
      <c r="B80" s="68" t="str">
        <f aca="false">IF(A80&lt;&gt;"",TEXT(A80,"mmm"),"")</f>
        <v/>
      </c>
      <c r="C80" s="68" t="str">
        <f aca="false">IF(A80&lt;&gt;"",YEAR(A80),"")</f>
        <v/>
      </c>
      <c r="D80" s="69"/>
      <c r="E80" s="69"/>
      <c r="F80" s="14"/>
    </row>
    <row r="81" customFormat="false" ht="16.5" hidden="false" customHeight="true" outlineLevel="0" collapsed="false">
      <c r="A81" s="70"/>
      <c r="B81" s="71" t="str">
        <f aca="false">IF(A81&lt;&gt;"",TEXT(A81,"mmm"),"")</f>
        <v/>
      </c>
      <c r="C81" s="71" t="str">
        <f aca="false">IF(A81&lt;&gt;"",YEAR(A81),"")</f>
        <v/>
      </c>
      <c r="D81" s="72"/>
      <c r="E81" s="72"/>
      <c r="F81" s="73"/>
    </row>
    <row r="82" customFormat="false" ht="16.5" hidden="false" customHeight="true" outlineLevel="0" collapsed="false">
      <c r="A82" s="67"/>
      <c r="B82" s="68" t="str">
        <f aca="false">IF(A82&lt;&gt;"",TEXT(A82,"mmm"),"")</f>
        <v/>
      </c>
      <c r="C82" s="68" t="str">
        <f aca="false">IF(A82&lt;&gt;"",YEAR(A82),"")</f>
        <v/>
      </c>
      <c r="D82" s="69"/>
      <c r="E82" s="69"/>
      <c r="F82" s="14"/>
    </row>
    <row r="83" customFormat="false" ht="16.5" hidden="false" customHeight="true" outlineLevel="0" collapsed="false">
      <c r="A83" s="70"/>
      <c r="B83" s="71" t="str">
        <f aca="false">IF(A83&lt;&gt;"",TEXT(A83,"mmm"),"")</f>
        <v/>
      </c>
      <c r="C83" s="71" t="str">
        <f aca="false">IF(A83&lt;&gt;"",YEAR(A83),"")</f>
        <v/>
      </c>
      <c r="D83" s="72"/>
      <c r="E83" s="72"/>
      <c r="F83" s="73"/>
    </row>
    <row r="84" customFormat="false" ht="16.5" hidden="false" customHeight="true" outlineLevel="0" collapsed="false">
      <c r="A84" s="67"/>
      <c r="B84" s="68" t="str">
        <f aca="false">IF(A84&lt;&gt;"",TEXT(A84,"mmm"),"")</f>
        <v/>
      </c>
      <c r="C84" s="68" t="str">
        <f aca="false">IF(A84&lt;&gt;"",YEAR(A84),"")</f>
        <v/>
      </c>
      <c r="D84" s="69"/>
      <c r="E84" s="69"/>
      <c r="F84" s="14"/>
    </row>
    <row r="85" customFormat="false" ht="16.5" hidden="false" customHeight="true" outlineLevel="0" collapsed="false">
      <c r="A85" s="70"/>
      <c r="B85" s="71" t="str">
        <f aca="false">IF(A85&lt;&gt;"",TEXT(A85,"mmm"),"")</f>
        <v/>
      </c>
      <c r="C85" s="71" t="str">
        <f aca="false">IF(A85&lt;&gt;"",YEAR(A85),"")</f>
        <v/>
      </c>
      <c r="D85" s="72"/>
      <c r="E85" s="72"/>
      <c r="F85" s="73"/>
    </row>
    <row r="86" customFormat="false" ht="16.5" hidden="false" customHeight="true" outlineLevel="0" collapsed="false">
      <c r="A86" s="67"/>
      <c r="B86" s="68" t="str">
        <f aca="false">IF(A86&lt;&gt;"",TEXT(A86,"mmm"),"")</f>
        <v/>
      </c>
      <c r="C86" s="68" t="str">
        <f aca="false">IF(A86&lt;&gt;"",YEAR(A86),"")</f>
        <v/>
      </c>
      <c r="D86" s="69"/>
      <c r="E86" s="69"/>
      <c r="F86" s="14"/>
    </row>
    <row r="87" customFormat="false" ht="16.5" hidden="false" customHeight="true" outlineLevel="0" collapsed="false">
      <c r="A87" s="70"/>
      <c r="B87" s="71" t="str">
        <f aca="false">IF(A87&lt;&gt;"",TEXT(A87,"mmm"),"")</f>
        <v/>
      </c>
      <c r="C87" s="71" t="str">
        <f aca="false">IF(A87&lt;&gt;"",YEAR(A87),"")</f>
        <v/>
      </c>
      <c r="D87" s="72"/>
      <c r="E87" s="72"/>
      <c r="F87" s="73"/>
    </row>
    <row r="88" customFormat="false" ht="16.5" hidden="false" customHeight="true" outlineLevel="0" collapsed="false">
      <c r="A88" s="67"/>
      <c r="B88" s="68" t="str">
        <f aca="false">IF(A88&lt;&gt;"",TEXT(A88,"mmm"),"")</f>
        <v/>
      </c>
      <c r="C88" s="68" t="str">
        <f aca="false">IF(A88&lt;&gt;"",YEAR(A88),"")</f>
        <v/>
      </c>
      <c r="D88" s="69"/>
      <c r="E88" s="69"/>
      <c r="F88" s="14"/>
    </row>
    <row r="89" customFormat="false" ht="16.5" hidden="false" customHeight="true" outlineLevel="0" collapsed="false">
      <c r="A89" s="70"/>
      <c r="B89" s="71" t="str">
        <f aca="false">IF(A89&lt;&gt;"",TEXT(A89,"mmm"),"")</f>
        <v/>
      </c>
      <c r="C89" s="71" t="str">
        <f aca="false">IF(A89&lt;&gt;"",YEAR(A89),"")</f>
        <v/>
      </c>
      <c r="D89" s="72"/>
      <c r="E89" s="72"/>
      <c r="F89" s="73"/>
    </row>
    <row r="90" customFormat="false" ht="16.5" hidden="false" customHeight="true" outlineLevel="0" collapsed="false">
      <c r="A90" s="67"/>
      <c r="B90" s="68" t="str">
        <f aca="false">IF(A90&lt;&gt;"",TEXT(A90,"mmm"),"")</f>
        <v/>
      </c>
      <c r="C90" s="68" t="str">
        <f aca="false">IF(A90&lt;&gt;"",YEAR(A90),"")</f>
        <v/>
      </c>
      <c r="D90" s="69"/>
      <c r="E90" s="69"/>
      <c r="F90" s="14"/>
    </row>
    <row r="91" customFormat="false" ht="16.5" hidden="false" customHeight="true" outlineLevel="0" collapsed="false">
      <c r="A91" s="70"/>
      <c r="B91" s="71" t="str">
        <f aca="false">IF(A91&lt;&gt;"",TEXT(A91,"mmm"),"")</f>
        <v/>
      </c>
      <c r="C91" s="71" t="str">
        <f aca="false">IF(A91&lt;&gt;"",YEAR(A91),"")</f>
        <v/>
      </c>
      <c r="D91" s="72"/>
      <c r="E91" s="72"/>
      <c r="F91" s="73"/>
    </row>
    <row r="92" customFormat="false" ht="16.5" hidden="false" customHeight="true" outlineLevel="0" collapsed="false">
      <c r="A92" s="67"/>
      <c r="B92" s="68" t="str">
        <f aca="false">IF(A92&lt;&gt;"",TEXT(A92,"mmm"),"")</f>
        <v/>
      </c>
      <c r="C92" s="68" t="str">
        <f aca="false">IF(A92&lt;&gt;"",YEAR(A92),"")</f>
        <v/>
      </c>
      <c r="D92" s="69"/>
      <c r="E92" s="69"/>
      <c r="F92" s="14"/>
    </row>
    <row r="93" customFormat="false" ht="16.5" hidden="false" customHeight="true" outlineLevel="0" collapsed="false">
      <c r="A93" s="70"/>
      <c r="B93" s="71" t="str">
        <f aca="false">IF(A93&lt;&gt;"",TEXT(A93,"mmm"),"")</f>
        <v/>
      </c>
      <c r="C93" s="71" t="str">
        <f aca="false">IF(A93&lt;&gt;"",YEAR(A93),"")</f>
        <v/>
      </c>
      <c r="D93" s="72"/>
      <c r="E93" s="72"/>
      <c r="F93" s="73"/>
    </row>
    <row r="94" customFormat="false" ht="16.5" hidden="false" customHeight="true" outlineLevel="0" collapsed="false">
      <c r="A94" s="67"/>
      <c r="B94" s="68" t="str">
        <f aca="false">IF(A94&lt;&gt;"",TEXT(A94,"mmm"),"")</f>
        <v/>
      </c>
      <c r="C94" s="68" t="str">
        <f aca="false">IF(A94&lt;&gt;"",YEAR(A94),"")</f>
        <v/>
      </c>
      <c r="D94" s="69"/>
      <c r="E94" s="69"/>
      <c r="F94" s="14"/>
    </row>
    <row r="95" customFormat="false" ht="16.5" hidden="false" customHeight="true" outlineLevel="0" collapsed="false">
      <c r="A95" s="70"/>
      <c r="B95" s="71" t="str">
        <f aca="false">IF(A95&lt;&gt;"",TEXT(A95,"mmm"),"")</f>
        <v/>
      </c>
      <c r="C95" s="71" t="str">
        <f aca="false">IF(A95&lt;&gt;"",YEAR(A95),"")</f>
        <v/>
      </c>
      <c r="D95" s="72"/>
      <c r="E95" s="72"/>
      <c r="F95" s="73"/>
    </row>
    <row r="96" customFormat="false" ht="16.5" hidden="false" customHeight="true" outlineLevel="0" collapsed="false">
      <c r="A96" s="67"/>
      <c r="B96" s="68" t="str">
        <f aca="false">IF(A96&lt;&gt;"",TEXT(A96,"mmm"),"")</f>
        <v/>
      </c>
      <c r="C96" s="68" t="str">
        <f aca="false">IF(A96&lt;&gt;"",YEAR(A96),"")</f>
        <v/>
      </c>
      <c r="D96" s="69"/>
      <c r="E96" s="69"/>
      <c r="F96" s="14"/>
    </row>
    <row r="97" customFormat="false" ht="16.5" hidden="false" customHeight="true" outlineLevel="0" collapsed="false">
      <c r="A97" s="70"/>
      <c r="B97" s="71" t="str">
        <f aca="false">IF(A97&lt;&gt;"",TEXT(A97,"mmm"),"")</f>
        <v/>
      </c>
      <c r="C97" s="71" t="str">
        <f aca="false">IF(A97&lt;&gt;"",YEAR(A97),"")</f>
        <v/>
      </c>
      <c r="D97" s="72"/>
      <c r="E97" s="72"/>
      <c r="F97" s="73"/>
    </row>
    <row r="98" customFormat="false" ht="16.5" hidden="false" customHeight="true" outlineLevel="0" collapsed="false">
      <c r="A98" s="67"/>
      <c r="B98" s="68" t="str">
        <f aca="false">IF(A98&lt;&gt;"",TEXT(A98,"mmm"),"")</f>
        <v/>
      </c>
      <c r="C98" s="68" t="str">
        <f aca="false">IF(A98&lt;&gt;"",YEAR(A98),"")</f>
        <v/>
      </c>
      <c r="D98" s="69"/>
      <c r="E98" s="69"/>
      <c r="F98" s="14"/>
    </row>
    <row r="99" customFormat="false" ht="16.5" hidden="false" customHeight="true" outlineLevel="0" collapsed="false">
      <c r="A99" s="70"/>
      <c r="B99" s="71" t="str">
        <f aca="false">IF(A99&lt;&gt;"",TEXT(A99,"mmm"),"")</f>
        <v/>
      </c>
      <c r="C99" s="71" t="str">
        <f aca="false">IF(A99&lt;&gt;"",YEAR(A99),"")</f>
        <v/>
      </c>
      <c r="D99" s="72"/>
      <c r="E99" s="72"/>
      <c r="F99" s="73"/>
    </row>
    <row r="100" customFormat="false" ht="16.5" hidden="false" customHeight="true" outlineLevel="0" collapsed="false">
      <c r="A100" s="67"/>
      <c r="B100" s="68" t="str">
        <f aca="false">IF(A100&lt;&gt;"",TEXT(A100,"mmm"),"")</f>
        <v/>
      </c>
      <c r="C100" s="68" t="str">
        <f aca="false">IF(A100&lt;&gt;"",YEAR(A100),"")</f>
        <v/>
      </c>
      <c r="D100" s="69"/>
      <c r="E100" s="69"/>
      <c r="F100" s="14"/>
    </row>
    <row r="101" customFormat="false" ht="16.5" hidden="false" customHeight="true" outlineLevel="0" collapsed="false">
      <c r="A101" s="70"/>
      <c r="B101" s="71" t="str">
        <f aca="false">IF(A101&lt;&gt;"",TEXT(A101,"mmm"),"")</f>
        <v/>
      </c>
      <c r="C101" s="71" t="str">
        <f aca="false">IF(A101&lt;&gt;"",YEAR(A101),"")</f>
        <v/>
      </c>
      <c r="D101" s="72"/>
      <c r="E101" s="72"/>
      <c r="F101" s="73"/>
    </row>
    <row r="102" customFormat="false" ht="16.5" hidden="false" customHeight="true" outlineLevel="0" collapsed="false">
      <c r="A102" s="67"/>
      <c r="B102" s="68" t="str">
        <f aca="false">IF(A102&lt;&gt;"",TEXT(A102,"mmm"),"")</f>
        <v/>
      </c>
      <c r="C102" s="68" t="str">
        <f aca="false">IF(A102&lt;&gt;"",YEAR(A102),"")</f>
        <v/>
      </c>
      <c r="D102" s="69"/>
      <c r="E102" s="69"/>
      <c r="F102" s="14"/>
    </row>
    <row r="103" customFormat="false" ht="16.5" hidden="false" customHeight="true" outlineLevel="0" collapsed="false">
      <c r="A103" s="70"/>
      <c r="B103" s="71" t="str">
        <f aca="false">IF(A103&lt;&gt;"",TEXT(A103,"mmm"),"")</f>
        <v/>
      </c>
      <c r="C103" s="71" t="str">
        <f aca="false">IF(A103&lt;&gt;"",YEAR(A103),"")</f>
        <v/>
      </c>
      <c r="D103" s="72"/>
      <c r="E103" s="72"/>
      <c r="F103" s="73"/>
    </row>
    <row r="104" customFormat="false" ht="16.5" hidden="false" customHeight="true" outlineLevel="0" collapsed="false">
      <c r="A104" s="67"/>
      <c r="B104" s="68" t="str">
        <f aca="false">IF(A104&lt;&gt;"",TEXT(A104,"mmm"),"")</f>
        <v/>
      </c>
      <c r="C104" s="68" t="str">
        <f aca="false">IF(A104&lt;&gt;"",YEAR(A104),"")</f>
        <v/>
      </c>
      <c r="D104" s="69"/>
      <c r="E104" s="69"/>
      <c r="F104" s="14"/>
    </row>
    <row r="105" customFormat="false" ht="16.5" hidden="false" customHeight="true" outlineLevel="0" collapsed="false">
      <c r="A105" s="70"/>
      <c r="B105" s="71" t="str">
        <f aca="false">IF(A105&lt;&gt;"",TEXT(A105,"mmm"),"")</f>
        <v/>
      </c>
      <c r="C105" s="71" t="str">
        <f aca="false">IF(A105&lt;&gt;"",YEAR(A105),"")</f>
        <v/>
      </c>
      <c r="D105" s="72"/>
      <c r="E105" s="72"/>
      <c r="F105" s="73"/>
    </row>
    <row r="106" customFormat="false" ht="16.5" hidden="false" customHeight="true" outlineLevel="0" collapsed="false">
      <c r="A106" s="67"/>
      <c r="B106" s="68" t="str">
        <f aca="false">IF(A106&lt;&gt;"",TEXT(A106,"mmm"),"")</f>
        <v/>
      </c>
      <c r="C106" s="68" t="str">
        <f aca="false">IF(A106&lt;&gt;"",YEAR(A106),"")</f>
        <v/>
      </c>
      <c r="D106" s="69"/>
      <c r="E106" s="69"/>
      <c r="F106" s="14"/>
    </row>
    <row r="107" customFormat="false" ht="16.5" hidden="false" customHeight="true" outlineLevel="0" collapsed="false">
      <c r="A107" s="70"/>
      <c r="B107" s="71" t="str">
        <f aca="false">IF(A107&lt;&gt;"",TEXT(A107,"mmm"),"")</f>
        <v/>
      </c>
      <c r="C107" s="71" t="str">
        <f aca="false">IF(A107&lt;&gt;"",YEAR(A107),"")</f>
        <v/>
      </c>
      <c r="D107" s="72"/>
      <c r="E107" s="72"/>
      <c r="F107" s="73"/>
    </row>
    <row r="108" customFormat="false" ht="16.5" hidden="false" customHeight="true" outlineLevel="0" collapsed="false">
      <c r="A108" s="67"/>
      <c r="B108" s="68" t="str">
        <f aca="false">IF(A108&lt;&gt;"",TEXT(A108,"mmm"),"")</f>
        <v/>
      </c>
      <c r="C108" s="68" t="str">
        <f aca="false">IF(A108&lt;&gt;"",YEAR(A108),"")</f>
        <v/>
      </c>
      <c r="D108" s="69"/>
      <c r="E108" s="69"/>
      <c r="F108" s="14"/>
    </row>
    <row r="109" customFormat="false" ht="16.5" hidden="false" customHeight="true" outlineLevel="0" collapsed="false">
      <c r="A109" s="70"/>
      <c r="B109" s="71" t="str">
        <f aca="false">IF(A109&lt;&gt;"",TEXT(A109,"mmm"),"")</f>
        <v/>
      </c>
      <c r="C109" s="71" t="str">
        <f aca="false">IF(A109&lt;&gt;"",YEAR(A109),"")</f>
        <v/>
      </c>
      <c r="D109" s="72"/>
      <c r="E109" s="72"/>
      <c r="F109" s="73"/>
    </row>
    <row r="110" customFormat="false" ht="16.5" hidden="false" customHeight="true" outlineLevel="0" collapsed="false">
      <c r="A110" s="67"/>
      <c r="B110" s="68" t="str">
        <f aca="false">IF(A110&lt;&gt;"",TEXT(A110,"mmm"),"")</f>
        <v/>
      </c>
      <c r="C110" s="68" t="str">
        <f aca="false">IF(A110&lt;&gt;"",YEAR(A110),"")</f>
        <v/>
      </c>
      <c r="D110" s="69"/>
      <c r="E110" s="69"/>
      <c r="F110" s="14"/>
    </row>
    <row r="111" customFormat="false" ht="16.5" hidden="false" customHeight="true" outlineLevel="0" collapsed="false">
      <c r="A111" s="70"/>
      <c r="B111" s="71" t="str">
        <f aca="false">IF(A111&lt;&gt;"",TEXT(A111,"mmm"),"")</f>
        <v/>
      </c>
      <c r="C111" s="71" t="str">
        <f aca="false">IF(A111&lt;&gt;"",YEAR(A111),"")</f>
        <v/>
      </c>
      <c r="D111" s="72"/>
      <c r="E111" s="72"/>
      <c r="F111" s="73"/>
    </row>
    <row r="112" customFormat="false" ht="16.5" hidden="false" customHeight="true" outlineLevel="0" collapsed="false">
      <c r="A112" s="67"/>
      <c r="B112" s="68" t="str">
        <f aca="false">IF(A112&lt;&gt;"",TEXT(A112,"mmm"),"")</f>
        <v/>
      </c>
      <c r="C112" s="68" t="str">
        <f aca="false">IF(A112&lt;&gt;"",YEAR(A112),"")</f>
        <v/>
      </c>
      <c r="D112" s="69"/>
      <c r="E112" s="69"/>
      <c r="F112" s="14"/>
    </row>
    <row r="113" customFormat="false" ht="16.5" hidden="false" customHeight="true" outlineLevel="0" collapsed="false">
      <c r="A113" s="70"/>
      <c r="B113" s="71" t="str">
        <f aca="false">IF(A113&lt;&gt;"",TEXT(A113,"mmm"),"")</f>
        <v/>
      </c>
      <c r="C113" s="71" t="str">
        <f aca="false">IF(A113&lt;&gt;"",YEAR(A113),"")</f>
        <v/>
      </c>
      <c r="D113" s="72"/>
      <c r="E113" s="72"/>
      <c r="F113" s="73"/>
    </row>
    <row r="114" customFormat="false" ht="16.5" hidden="false" customHeight="true" outlineLevel="0" collapsed="false">
      <c r="A114" s="67"/>
      <c r="B114" s="68" t="str">
        <f aca="false">IF(A114&lt;&gt;"",TEXT(A114,"mmm"),"")</f>
        <v/>
      </c>
      <c r="C114" s="68" t="str">
        <f aca="false">IF(A114&lt;&gt;"",YEAR(A114),"")</f>
        <v/>
      </c>
      <c r="D114" s="69"/>
      <c r="E114" s="69"/>
      <c r="F114" s="14"/>
    </row>
    <row r="115" customFormat="false" ht="16.5" hidden="false" customHeight="true" outlineLevel="0" collapsed="false">
      <c r="A115" s="70"/>
      <c r="B115" s="71" t="str">
        <f aca="false">IF(A115&lt;&gt;"",TEXT(A115,"mmm"),"")</f>
        <v/>
      </c>
      <c r="C115" s="71" t="str">
        <f aca="false">IF(A115&lt;&gt;"",YEAR(A115),"")</f>
        <v/>
      </c>
      <c r="D115" s="72"/>
      <c r="E115" s="72"/>
      <c r="F115" s="73"/>
    </row>
    <row r="116" customFormat="false" ht="16.5" hidden="false" customHeight="true" outlineLevel="0" collapsed="false">
      <c r="A116" s="67"/>
      <c r="B116" s="68" t="str">
        <f aca="false">IF(A116&lt;&gt;"",TEXT(A116,"mmm"),"")</f>
        <v/>
      </c>
      <c r="C116" s="68" t="str">
        <f aca="false">IF(A116&lt;&gt;"",YEAR(A116),"")</f>
        <v/>
      </c>
      <c r="D116" s="69"/>
      <c r="E116" s="69"/>
      <c r="F116" s="14"/>
    </row>
    <row r="117" customFormat="false" ht="16.5" hidden="false" customHeight="true" outlineLevel="0" collapsed="false">
      <c r="A117" s="70"/>
      <c r="B117" s="71" t="str">
        <f aca="false">IF(A117&lt;&gt;"",TEXT(A117,"mmm"),"")</f>
        <v/>
      </c>
      <c r="C117" s="71" t="str">
        <f aca="false">IF(A117&lt;&gt;"",YEAR(A117),"")</f>
        <v/>
      </c>
      <c r="D117" s="72"/>
      <c r="E117" s="72"/>
      <c r="F117" s="73"/>
    </row>
    <row r="118" customFormat="false" ht="16.5" hidden="false" customHeight="true" outlineLevel="0" collapsed="false">
      <c r="A118" s="67"/>
      <c r="B118" s="68" t="str">
        <f aca="false">IF(A118&lt;&gt;"",TEXT(A118,"mmm"),"")</f>
        <v/>
      </c>
      <c r="C118" s="68" t="str">
        <f aca="false">IF(A118&lt;&gt;"",YEAR(A118),"")</f>
        <v/>
      </c>
      <c r="D118" s="69"/>
      <c r="E118" s="69"/>
      <c r="F118" s="14"/>
    </row>
    <row r="119" customFormat="false" ht="16.5" hidden="false" customHeight="true" outlineLevel="0" collapsed="false">
      <c r="A119" s="70"/>
      <c r="B119" s="71" t="str">
        <f aca="false">IF(A119&lt;&gt;"",TEXT(A119,"mmm"),"")</f>
        <v/>
      </c>
      <c r="C119" s="71" t="str">
        <f aca="false">IF(A119&lt;&gt;"",YEAR(A119),"")</f>
        <v/>
      </c>
      <c r="D119" s="72"/>
      <c r="E119" s="72"/>
      <c r="F119" s="73"/>
    </row>
    <row r="120" customFormat="false" ht="16.5" hidden="false" customHeight="true" outlineLevel="0" collapsed="false">
      <c r="A120" s="67"/>
      <c r="B120" s="68" t="str">
        <f aca="false">IF(A120&lt;&gt;"",TEXT(A120,"mmm"),"")</f>
        <v/>
      </c>
      <c r="C120" s="68" t="str">
        <f aca="false">IF(A120&lt;&gt;"",YEAR(A120),"")</f>
        <v/>
      </c>
      <c r="D120" s="69"/>
      <c r="E120" s="69"/>
      <c r="F120" s="14"/>
    </row>
    <row r="121" customFormat="false" ht="16.5" hidden="false" customHeight="true" outlineLevel="0" collapsed="false">
      <c r="A121" s="70"/>
      <c r="B121" s="71" t="str">
        <f aca="false">IF(A121&lt;&gt;"",TEXT(A121,"mmm"),"")</f>
        <v/>
      </c>
      <c r="C121" s="71" t="str">
        <f aca="false">IF(A121&lt;&gt;"",YEAR(A121),"")</f>
        <v/>
      </c>
      <c r="D121" s="72"/>
      <c r="E121" s="72"/>
      <c r="F121" s="73"/>
    </row>
    <row r="122" customFormat="false" ht="16.5" hidden="false" customHeight="true" outlineLevel="0" collapsed="false">
      <c r="A122" s="67"/>
      <c r="B122" s="68" t="str">
        <f aca="false">IF(A122&lt;&gt;"",TEXT(A122,"mmm"),"")</f>
        <v/>
      </c>
      <c r="C122" s="68" t="str">
        <f aca="false">IF(A122&lt;&gt;"",YEAR(A122),"")</f>
        <v/>
      </c>
      <c r="D122" s="69"/>
      <c r="E122" s="69"/>
      <c r="F122" s="14"/>
    </row>
    <row r="123" customFormat="false" ht="16.5" hidden="false" customHeight="true" outlineLevel="0" collapsed="false">
      <c r="A123" s="70"/>
      <c r="B123" s="71" t="str">
        <f aca="false">IF(A123&lt;&gt;"",TEXT(A123,"mmm"),"")</f>
        <v/>
      </c>
      <c r="C123" s="71" t="str">
        <f aca="false">IF(A123&lt;&gt;"",YEAR(A123),"")</f>
        <v/>
      </c>
      <c r="D123" s="72"/>
      <c r="E123" s="72"/>
      <c r="F123" s="73"/>
    </row>
    <row r="124" customFormat="false" ht="16.5" hidden="false" customHeight="true" outlineLevel="0" collapsed="false">
      <c r="A124" s="67"/>
      <c r="B124" s="68" t="str">
        <f aca="false">IF(A124&lt;&gt;"",TEXT(A124,"mmm"),"")</f>
        <v/>
      </c>
      <c r="C124" s="68" t="str">
        <f aca="false">IF(A124&lt;&gt;"",YEAR(A124),"")</f>
        <v/>
      </c>
      <c r="D124" s="69"/>
      <c r="E124" s="69"/>
      <c r="F124" s="14"/>
    </row>
    <row r="125" customFormat="false" ht="16.5" hidden="false" customHeight="true" outlineLevel="0" collapsed="false">
      <c r="A125" s="70"/>
      <c r="B125" s="71" t="str">
        <f aca="false">IF(A125&lt;&gt;"",TEXT(A125,"mmm"),"")</f>
        <v/>
      </c>
      <c r="C125" s="71" t="str">
        <f aca="false">IF(A125&lt;&gt;"",YEAR(A125),"")</f>
        <v/>
      </c>
      <c r="D125" s="72"/>
      <c r="E125" s="72"/>
      <c r="F125" s="73"/>
    </row>
    <row r="126" customFormat="false" ht="16.5" hidden="false" customHeight="true" outlineLevel="0" collapsed="false">
      <c r="A126" s="67"/>
      <c r="B126" s="68" t="str">
        <f aca="false">IF(A126&lt;&gt;"",TEXT(A126,"mmm"),"")</f>
        <v/>
      </c>
      <c r="C126" s="68" t="str">
        <f aca="false">IF(A126&lt;&gt;"",YEAR(A126),"")</f>
        <v/>
      </c>
      <c r="D126" s="69"/>
      <c r="E126" s="69"/>
      <c r="F126" s="14"/>
    </row>
    <row r="127" customFormat="false" ht="16.5" hidden="false" customHeight="true" outlineLevel="0" collapsed="false">
      <c r="A127" s="70"/>
      <c r="B127" s="71" t="str">
        <f aca="false">IF(A127&lt;&gt;"",TEXT(A127,"mmm"),"")</f>
        <v/>
      </c>
      <c r="C127" s="71" t="str">
        <f aca="false">IF(A127&lt;&gt;"",YEAR(A127),"")</f>
        <v/>
      </c>
      <c r="D127" s="72"/>
      <c r="E127" s="72"/>
      <c r="F127" s="73"/>
    </row>
    <row r="128" customFormat="false" ht="16.5" hidden="false" customHeight="true" outlineLevel="0" collapsed="false">
      <c r="A128" s="67"/>
      <c r="B128" s="68" t="str">
        <f aca="false">IF(A128&lt;&gt;"",TEXT(A128,"mmm"),"")</f>
        <v/>
      </c>
      <c r="C128" s="68" t="str">
        <f aca="false">IF(A128&lt;&gt;"",YEAR(A128),"")</f>
        <v/>
      </c>
      <c r="D128" s="69"/>
      <c r="E128" s="69"/>
      <c r="F128" s="14"/>
    </row>
    <row r="129" customFormat="false" ht="16.5" hidden="false" customHeight="true" outlineLevel="0" collapsed="false">
      <c r="A129" s="70"/>
      <c r="B129" s="71" t="str">
        <f aca="false">IF(A129&lt;&gt;"",TEXT(A129,"mmm"),"")</f>
        <v/>
      </c>
      <c r="C129" s="71" t="str">
        <f aca="false">IF(A129&lt;&gt;"",YEAR(A129),"")</f>
        <v/>
      </c>
      <c r="D129" s="72"/>
      <c r="E129" s="72"/>
      <c r="F129" s="73"/>
    </row>
    <row r="130" customFormat="false" ht="16.5" hidden="false" customHeight="true" outlineLevel="0" collapsed="false">
      <c r="A130" s="67"/>
      <c r="B130" s="68" t="str">
        <f aca="false">IF(A130&lt;&gt;"",TEXT(A130,"mmm"),"")</f>
        <v/>
      </c>
      <c r="C130" s="68" t="str">
        <f aca="false">IF(A130&lt;&gt;"",YEAR(A130),"")</f>
        <v/>
      </c>
      <c r="D130" s="69"/>
      <c r="E130" s="69"/>
      <c r="F130" s="14"/>
    </row>
    <row r="131" customFormat="false" ht="16.5" hidden="false" customHeight="true" outlineLevel="0" collapsed="false">
      <c r="A131" s="70"/>
      <c r="B131" s="71" t="str">
        <f aca="false">IF(A131&lt;&gt;"",TEXT(A131,"mmm"),"")</f>
        <v/>
      </c>
      <c r="C131" s="71" t="str">
        <f aca="false">IF(A131&lt;&gt;"",YEAR(A131),"")</f>
        <v/>
      </c>
      <c r="D131" s="72"/>
      <c r="E131" s="72"/>
      <c r="F131" s="73"/>
    </row>
    <row r="132" customFormat="false" ht="16.5" hidden="false" customHeight="true" outlineLevel="0" collapsed="false">
      <c r="A132" s="67"/>
      <c r="B132" s="68" t="str">
        <f aca="false">IF(A132&lt;&gt;"",TEXT(A132,"mmm"),"")</f>
        <v/>
      </c>
      <c r="C132" s="68" t="str">
        <f aca="false">IF(A132&lt;&gt;"",YEAR(A132),"")</f>
        <v/>
      </c>
      <c r="D132" s="69"/>
      <c r="E132" s="69"/>
      <c r="F132" s="14"/>
    </row>
    <row r="133" customFormat="false" ht="16.5" hidden="false" customHeight="true" outlineLevel="0" collapsed="false">
      <c r="A133" s="70"/>
      <c r="B133" s="71" t="str">
        <f aca="false">IF(A133&lt;&gt;"",TEXT(A133,"mmm"),"")</f>
        <v/>
      </c>
      <c r="C133" s="71" t="str">
        <f aca="false">IF(A133&lt;&gt;"",YEAR(A133),"")</f>
        <v/>
      </c>
      <c r="D133" s="72"/>
      <c r="E133" s="72"/>
      <c r="F133" s="73"/>
    </row>
    <row r="134" customFormat="false" ht="16.5" hidden="false" customHeight="true" outlineLevel="0" collapsed="false">
      <c r="A134" s="67"/>
      <c r="B134" s="68" t="str">
        <f aca="false">IF(A134&lt;&gt;"",TEXT(A134,"mmm"),"")</f>
        <v/>
      </c>
      <c r="C134" s="68" t="str">
        <f aca="false">IF(A134&lt;&gt;"",YEAR(A134),"")</f>
        <v/>
      </c>
      <c r="D134" s="69"/>
      <c r="E134" s="69"/>
      <c r="F134" s="14"/>
    </row>
    <row r="135" customFormat="false" ht="16.5" hidden="false" customHeight="true" outlineLevel="0" collapsed="false">
      <c r="A135" s="70"/>
      <c r="B135" s="71" t="str">
        <f aca="false">IF(A135&lt;&gt;"",TEXT(A135,"mmm"),"")</f>
        <v/>
      </c>
      <c r="C135" s="71" t="str">
        <f aca="false">IF(A135&lt;&gt;"",YEAR(A135),"")</f>
        <v/>
      </c>
      <c r="D135" s="72"/>
      <c r="E135" s="72"/>
      <c r="F135" s="73"/>
    </row>
    <row r="136" customFormat="false" ht="16.5" hidden="false" customHeight="true" outlineLevel="0" collapsed="false">
      <c r="A136" s="67"/>
      <c r="B136" s="68" t="str">
        <f aca="false">IF(A136&lt;&gt;"",TEXT(A136,"mmm"),"")</f>
        <v/>
      </c>
      <c r="C136" s="68" t="str">
        <f aca="false">IF(A136&lt;&gt;"",YEAR(A136),"")</f>
        <v/>
      </c>
      <c r="D136" s="69"/>
      <c r="E136" s="69"/>
      <c r="F136" s="14"/>
    </row>
    <row r="137" customFormat="false" ht="16.5" hidden="false" customHeight="true" outlineLevel="0" collapsed="false">
      <c r="A137" s="70"/>
      <c r="B137" s="71" t="str">
        <f aca="false">IF(A137&lt;&gt;"",TEXT(A137,"mmm"),"")</f>
        <v/>
      </c>
      <c r="C137" s="71" t="str">
        <f aca="false">IF(A137&lt;&gt;"",YEAR(A137),"")</f>
        <v/>
      </c>
      <c r="D137" s="72"/>
      <c r="E137" s="72"/>
      <c r="F137" s="73"/>
    </row>
    <row r="138" customFormat="false" ht="16.5" hidden="false" customHeight="true" outlineLevel="0" collapsed="false">
      <c r="A138" s="67"/>
      <c r="B138" s="68" t="str">
        <f aca="false">IF(A138&lt;&gt;"",TEXT(A138,"mmm"),"")</f>
        <v/>
      </c>
      <c r="C138" s="68" t="str">
        <f aca="false">IF(A138&lt;&gt;"",YEAR(A138),"")</f>
        <v/>
      </c>
      <c r="D138" s="69"/>
      <c r="E138" s="69"/>
      <c r="F138" s="14"/>
    </row>
    <row r="139" customFormat="false" ht="16.5" hidden="false" customHeight="true" outlineLevel="0" collapsed="false">
      <c r="A139" s="70"/>
      <c r="B139" s="71" t="str">
        <f aca="false">IF(A139&lt;&gt;"",TEXT(A139,"mmm"),"")</f>
        <v/>
      </c>
      <c r="C139" s="71" t="str">
        <f aca="false">IF(A139&lt;&gt;"",YEAR(A139),"")</f>
        <v/>
      </c>
      <c r="D139" s="72"/>
      <c r="E139" s="72"/>
      <c r="F139" s="73"/>
    </row>
    <row r="140" customFormat="false" ht="16.5" hidden="false" customHeight="true" outlineLevel="0" collapsed="false">
      <c r="A140" s="67"/>
      <c r="B140" s="68" t="str">
        <f aca="false">IF(A140&lt;&gt;"",TEXT(A140,"mmm"),"")</f>
        <v/>
      </c>
      <c r="C140" s="68" t="str">
        <f aca="false">IF(A140&lt;&gt;"",YEAR(A140),"")</f>
        <v/>
      </c>
      <c r="D140" s="69"/>
      <c r="E140" s="69"/>
      <c r="F140" s="14"/>
    </row>
    <row r="141" customFormat="false" ht="16.5" hidden="false" customHeight="true" outlineLevel="0" collapsed="false">
      <c r="A141" s="70"/>
      <c r="B141" s="71" t="str">
        <f aca="false">IF(A141&lt;&gt;"",TEXT(A141,"mmm"),"")</f>
        <v/>
      </c>
      <c r="C141" s="71" t="str">
        <f aca="false">IF(A141&lt;&gt;"",YEAR(A141),"")</f>
        <v/>
      </c>
      <c r="D141" s="72"/>
      <c r="E141" s="72"/>
      <c r="F141" s="73"/>
    </row>
    <row r="142" customFormat="false" ht="16.5" hidden="false" customHeight="true" outlineLevel="0" collapsed="false">
      <c r="A142" s="67"/>
      <c r="B142" s="68" t="str">
        <f aca="false">IF(A142&lt;&gt;"",TEXT(A142,"mmm"),"")</f>
        <v/>
      </c>
      <c r="C142" s="68" t="str">
        <f aca="false">IF(A142&lt;&gt;"",YEAR(A142),"")</f>
        <v/>
      </c>
      <c r="D142" s="69"/>
      <c r="E142" s="69"/>
      <c r="F142" s="14"/>
    </row>
    <row r="143" customFormat="false" ht="16.5" hidden="false" customHeight="true" outlineLevel="0" collapsed="false">
      <c r="A143" s="70"/>
      <c r="B143" s="71" t="str">
        <f aca="false">IF(A143&lt;&gt;"",TEXT(A143,"mmm"),"")</f>
        <v/>
      </c>
      <c r="C143" s="71" t="str">
        <f aca="false">IF(A143&lt;&gt;"",YEAR(A143),"")</f>
        <v/>
      </c>
      <c r="D143" s="72"/>
      <c r="E143" s="72"/>
      <c r="F143" s="73"/>
    </row>
    <row r="144" customFormat="false" ht="16.5" hidden="false" customHeight="true" outlineLevel="0" collapsed="false">
      <c r="A144" s="67"/>
      <c r="B144" s="68" t="str">
        <f aca="false">IF(A144&lt;&gt;"",TEXT(A144,"mmm"),"")</f>
        <v/>
      </c>
      <c r="C144" s="68" t="str">
        <f aca="false">IF(A144&lt;&gt;"",YEAR(A144),"")</f>
        <v/>
      </c>
      <c r="D144" s="69"/>
      <c r="E144" s="69"/>
      <c r="F144" s="14"/>
    </row>
    <row r="145" customFormat="false" ht="16.5" hidden="false" customHeight="true" outlineLevel="0" collapsed="false">
      <c r="A145" s="70"/>
      <c r="B145" s="71" t="str">
        <f aca="false">IF(A145&lt;&gt;"",TEXT(A145,"mmm"),"")</f>
        <v/>
      </c>
      <c r="C145" s="71" t="str">
        <f aca="false">IF(A145&lt;&gt;"",YEAR(A145),"")</f>
        <v/>
      </c>
      <c r="D145" s="72"/>
      <c r="E145" s="72"/>
      <c r="F145" s="73"/>
    </row>
    <row r="146" customFormat="false" ht="16.5" hidden="false" customHeight="true" outlineLevel="0" collapsed="false">
      <c r="A146" s="67"/>
      <c r="B146" s="68" t="str">
        <f aca="false">IF(A146&lt;&gt;"",TEXT(A146,"mmm"),"")</f>
        <v/>
      </c>
      <c r="C146" s="68" t="str">
        <f aca="false">IF(A146&lt;&gt;"",YEAR(A146),"")</f>
        <v/>
      </c>
      <c r="D146" s="69"/>
      <c r="E146" s="69"/>
      <c r="F146" s="14"/>
    </row>
    <row r="147" customFormat="false" ht="16.5" hidden="false" customHeight="true" outlineLevel="0" collapsed="false">
      <c r="A147" s="70"/>
      <c r="B147" s="71" t="str">
        <f aca="false">IF(A147&lt;&gt;"",TEXT(A147,"mmm"),"")</f>
        <v/>
      </c>
      <c r="C147" s="71" t="str">
        <f aca="false">IF(A147&lt;&gt;"",YEAR(A147),"")</f>
        <v/>
      </c>
      <c r="D147" s="72"/>
      <c r="E147" s="72"/>
      <c r="F147" s="73"/>
    </row>
    <row r="148" customFormat="false" ht="16.5" hidden="false" customHeight="true" outlineLevel="0" collapsed="false">
      <c r="A148" s="67"/>
      <c r="B148" s="68" t="str">
        <f aca="false">IF(A148&lt;&gt;"",TEXT(A148,"mmm"),"")</f>
        <v/>
      </c>
      <c r="C148" s="68" t="str">
        <f aca="false">IF(A148&lt;&gt;"",YEAR(A148),"")</f>
        <v/>
      </c>
      <c r="D148" s="69"/>
      <c r="E148" s="69"/>
      <c r="F148" s="14"/>
    </row>
    <row r="149" customFormat="false" ht="16.5" hidden="false" customHeight="true" outlineLevel="0" collapsed="false">
      <c r="A149" s="70"/>
      <c r="B149" s="71" t="str">
        <f aca="false">IF(A149&lt;&gt;"",TEXT(A149,"mmm"),"")</f>
        <v/>
      </c>
      <c r="C149" s="71" t="str">
        <f aca="false">IF(A149&lt;&gt;"",YEAR(A149),"")</f>
        <v/>
      </c>
      <c r="D149" s="72"/>
      <c r="E149" s="72"/>
      <c r="F149" s="73"/>
    </row>
    <row r="150" customFormat="false" ht="16.5" hidden="false" customHeight="true" outlineLevel="0" collapsed="false">
      <c r="A150" s="67"/>
      <c r="B150" s="68" t="str">
        <f aca="false">IF(A150&lt;&gt;"",TEXT(A150,"mmm"),"")</f>
        <v/>
      </c>
      <c r="C150" s="68" t="str">
        <f aca="false">IF(A150&lt;&gt;"",YEAR(A150),"")</f>
        <v/>
      </c>
      <c r="D150" s="69"/>
      <c r="E150" s="69"/>
      <c r="F150" s="14"/>
    </row>
    <row r="151" customFormat="false" ht="16.5" hidden="false" customHeight="true" outlineLevel="0" collapsed="false">
      <c r="A151" s="70"/>
      <c r="B151" s="71" t="str">
        <f aca="false">IF(A151&lt;&gt;"",TEXT(A151,"mmm"),"")</f>
        <v/>
      </c>
      <c r="C151" s="71" t="str">
        <f aca="false">IF(A151&lt;&gt;"",YEAR(A151),"")</f>
        <v/>
      </c>
      <c r="D151" s="72"/>
      <c r="E151" s="72"/>
      <c r="F151" s="73"/>
    </row>
    <row r="152" customFormat="false" ht="16.5" hidden="false" customHeight="true" outlineLevel="0" collapsed="false">
      <c r="A152" s="67"/>
      <c r="B152" s="68" t="str">
        <f aca="false">IF(A152&lt;&gt;"",TEXT(A152,"mmm"),"")</f>
        <v/>
      </c>
      <c r="C152" s="68" t="str">
        <f aca="false">IF(A152&lt;&gt;"",YEAR(A152),"")</f>
        <v/>
      </c>
      <c r="D152" s="69"/>
      <c r="E152" s="69"/>
      <c r="F152" s="14"/>
    </row>
    <row r="153" customFormat="false" ht="16.5" hidden="false" customHeight="true" outlineLevel="0" collapsed="false">
      <c r="A153" s="70"/>
      <c r="B153" s="71" t="str">
        <f aca="false">IF(A153&lt;&gt;"",TEXT(A153,"mmm"),"")</f>
        <v/>
      </c>
      <c r="C153" s="71" t="str">
        <f aca="false">IF(A153&lt;&gt;"",YEAR(A153),"")</f>
        <v/>
      </c>
      <c r="D153" s="72"/>
      <c r="E153" s="72"/>
      <c r="F153" s="73"/>
    </row>
    <row r="154" customFormat="false" ht="16.5" hidden="false" customHeight="true" outlineLevel="0" collapsed="false">
      <c r="A154" s="67"/>
      <c r="B154" s="68" t="str">
        <f aca="false">IF(A154&lt;&gt;"",TEXT(A154,"mmm"),"")</f>
        <v/>
      </c>
      <c r="C154" s="68" t="str">
        <f aca="false">IF(A154&lt;&gt;"",YEAR(A154),"")</f>
        <v/>
      </c>
      <c r="D154" s="69"/>
      <c r="E154" s="69"/>
      <c r="F154" s="14"/>
    </row>
    <row r="155" customFormat="false" ht="16.5" hidden="false" customHeight="true" outlineLevel="0" collapsed="false">
      <c r="A155" s="70"/>
      <c r="B155" s="71" t="str">
        <f aca="false">IF(A155&lt;&gt;"",TEXT(A155,"mmm"),"")</f>
        <v/>
      </c>
      <c r="C155" s="71" t="str">
        <f aca="false">IF(A155&lt;&gt;"",YEAR(A155),"")</f>
        <v/>
      </c>
      <c r="D155" s="72"/>
      <c r="E155" s="72"/>
      <c r="F155" s="73"/>
    </row>
    <row r="156" customFormat="false" ht="16.5" hidden="false" customHeight="true" outlineLevel="0" collapsed="false">
      <c r="A156" s="67"/>
      <c r="B156" s="68" t="str">
        <f aca="false">IF(A156&lt;&gt;"",TEXT(A156,"mmm"),"")</f>
        <v/>
      </c>
      <c r="C156" s="68" t="str">
        <f aca="false">IF(A156&lt;&gt;"",YEAR(A156),"")</f>
        <v/>
      </c>
      <c r="D156" s="69"/>
      <c r="E156" s="69"/>
      <c r="F156" s="14"/>
    </row>
    <row r="157" customFormat="false" ht="16.5" hidden="false" customHeight="true" outlineLevel="0" collapsed="false">
      <c r="A157" s="70"/>
      <c r="B157" s="71" t="str">
        <f aca="false">IF(A157&lt;&gt;"",TEXT(A157,"mmm"),"")</f>
        <v/>
      </c>
      <c r="C157" s="71" t="str">
        <f aca="false">IF(A157&lt;&gt;"",YEAR(A157),"")</f>
        <v/>
      </c>
      <c r="D157" s="72"/>
      <c r="E157" s="72"/>
      <c r="F157" s="73"/>
    </row>
    <row r="158" customFormat="false" ht="16.5" hidden="false" customHeight="true" outlineLevel="0" collapsed="false">
      <c r="A158" s="67"/>
      <c r="B158" s="68" t="str">
        <f aca="false">IF(A158&lt;&gt;"",TEXT(A158,"mmm"),"")</f>
        <v/>
      </c>
      <c r="C158" s="68" t="str">
        <f aca="false">IF(A158&lt;&gt;"",YEAR(A158),"")</f>
        <v/>
      </c>
      <c r="D158" s="69"/>
      <c r="E158" s="69"/>
      <c r="F158" s="14"/>
    </row>
    <row r="159" customFormat="false" ht="16.5" hidden="false" customHeight="true" outlineLevel="0" collapsed="false">
      <c r="A159" s="70"/>
      <c r="B159" s="71" t="str">
        <f aca="false">IF(A159&lt;&gt;"",TEXT(A159,"mmm"),"")</f>
        <v/>
      </c>
      <c r="C159" s="71" t="str">
        <f aca="false">IF(A159&lt;&gt;"",YEAR(A159),"")</f>
        <v/>
      </c>
      <c r="D159" s="72"/>
      <c r="E159" s="72"/>
      <c r="F159" s="73"/>
    </row>
    <row r="160" customFormat="false" ht="16.5" hidden="false" customHeight="true" outlineLevel="0" collapsed="false">
      <c r="A160" s="67"/>
      <c r="B160" s="68" t="str">
        <f aca="false">IF(A160&lt;&gt;"",TEXT(A160,"mmm"),"")</f>
        <v/>
      </c>
      <c r="C160" s="68" t="str">
        <f aca="false">IF(A160&lt;&gt;"",YEAR(A160),"")</f>
        <v/>
      </c>
      <c r="D160" s="69"/>
      <c r="E160" s="69"/>
      <c r="F160" s="14"/>
    </row>
    <row r="161" customFormat="false" ht="16.5" hidden="false" customHeight="true" outlineLevel="0" collapsed="false">
      <c r="A161" s="70"/>
      <c r="B161" s="71" t="str">
        <f aca="false">IF(A161&lt;&gt;"",TEXT(A161,"mmm"),"")</f>
        <v/>
      </c>
      <c r="C161" s="71" t="str">
        <f aca="false">IF(A161&lt;&gt;"",YEAR(A161),"")</f>
        <v/>
      </c>
      <c r="D161" s="72"/>
      <c r="E161" s="72"/>
      <c r="F161" s="73"/>
    </row>
    <row r="162" customFormat="false" ht="16.5" hidden="false" customHeight="true" outlineLevel="0" collapsed="false">
      <c r="A162" s="67"/>
      <c r="B162" s="68" t="str">
        <f aca="false">IF(A162&lt;&gt;"",TEXT(A162,"mmm"),"")</f>
        <v/>
      </c>
      <c r="C162" s="68" t="str">
        <f aca="false">IF(A162&lt;&gt;"",YEAR(A162),"")</f>
        <v/>
      </c>
      <c r="D162" s="69"/>
      <c r="E162" s="69"/>
      <c r="F162" s="14"/>
    </row>
    <row r="163" customFormat="false" ht="16.5" hidden="false" customHeight="true" outlineLevel="0" collapsed="false">
      <c r="A163" s="70"/>
      <c r="B163" s="71" t="str">
        <f aca="false">IF(A163&lt;&gt;"",TEXT(A163,"mmm"),"")</f>
        <v/>
      </c>
      <c r="C163" s="71" t="str">
        <f aca="false">IF(A163&lt;&gt;"",YEAR(A163),"")</f>
        <v/>
      </c>
      <c r="D163" s="72"/>
      <c r="E163" s="72"/>
      <c r="F163" s="73"/>
    </row>
    <row r="164" customFormat="false" ht="16.5" hidden="false" customHeight="true" outlineLevel="0" collapsed="false">
      <c r="A164" s="67"/>
      <c r="B164" s="68" t="str">
        <f aca="false">IF(A164&lt;&gt;"",TEXT(A164,"mmm"),"")</f>
        <v/>
      </c>
      <c r="C164" s="68" t="str">
        <f aca="false">IF(A164&lt;&gt;"",YEAR(A164),"")</f>
        <v/>
      </c>
      <c r="D164" s="69"/>
      <c r="E164" s="69"/>
      <c r="F164" s="14"/>
    </row>
    <row r="165" customFormat="false" ht="16.5" hidden="false" customHeight="true" outlineLevel="0" collapsed="false">
      <c r="A165" s="70"/>
      <c r="B165" s="71" t="str">
        <f aca="false">IF(A165&lt;&gt;"",TEXT(A165,"mmm"),"")</f>
        <v/>
      </c>
      <c r="C165" s="71" t="str">
        <f aca="false">IF(A165&lt;&gt;"",YEAR(A165),"")</f>
        <v/>
      </c>
      <c r="D165" s="72"/>
      <c r="E165" s="72"/>
      <c r="F165" s="73"/>
    </row>
    <row r="166" customFormat="false" ht="16.5" hidden="false" customHeight="true" outlineLevel="0" collapsed="false">
      <c r="A166" s="67"/>
      <c r="B166" s="68" t="str">
        <f aca="false">IF(A166&lt;&gt;"",TEXT(A166,"mmm"),"")</f>
        <v/>
      </c>
      <c r="C166" s="68" t="str">
        <f aca="false">IF(A166&lt;&gt;"",YEAR(A166),"")</f>
        <v/>
      </c>
      <c r="D166" s="69"/>
      <c r="E166" s="69"/>
      <c r="F166" s="14"/>
    </row>
    <row r="167" customFormat="false" ht="16.5" hidden="false" customHeight="true" outlineLevel="0" collapsed="false">
      <c r="A167" s="70"/>
      <c r="B167" s="71" t="str">
        <f aca="false">IF(A167&lt;&gt;"",TEXT(A167,"mmm"),"")</f>
        <v/>
      </c>
      <c r="C167" s="71" t="str">
        <f aca="false">IF(A167&lt;&gt;"",YEAR(A167),"")</f>
        <v/>
      </c>
      <c r="D167" s="72"/>
      <c r="E167" s="72"/>
      <c r="F167" s="73"/>
    </row>
    <row r="168" customFormat="false" ht="16.5" hidden="false" customHeight="true" outlineLevel="0" collapsed="false">
      <c r="A168" s="67"/>
      <c r="B168" s="68" t="str">
        <f aca="false">IF(A168&lt;&gt;"",TEXT(A168,"mmm"),"")</f>
        <v/>
      </c>
      <c r="C168" s="68" t="str">
        <f aca="false">IF(A168&lt;&gt;"",YEAR(A168),"")</f>
        <v/>
      </c>
      <c r="D168" s="69"/>
      <c r="E168" s="69"/>
      <c r="F168" s="14"/>
    </row>
    <row r="169" customFormat="false" ht="16.5" hidden="false" customHeight="true" outlineLevel="0" collapsed="false">
      <c r="A169" s="70"/>
      <c r="B169" s="71" t="str">
        <f aca="false">IF(A169&lt;&gt;"",TEXT(A169,"mmm"),"")</f>
        <v/>
      </c>
      <c r="C169" s="71" t="str">
        <f aca="false">IF(A169&lt;&gt;"",YEAR(A169),"")</f>
        <v/>
      </c>
      <c r="D169" s="72"/>
      <c r="E169" s="72"/>
      <c r="F169" s="73"/>
    </row>
    <row r="170" customFormat="false" ht="16.5" hidden="false" customHeight="true" outlineLevel="0" collapsed="false">
      <c r="A170" s="67"/>
      <c r="B170" s="68" t="str">
        <f aca="false">IF(A170&lt;&gt;"",TEXT(A170,"mmm"),"")</f>
        <v/>
      </c>
      <c r="C170" s="68" t="str">
        <f aca="false">IF(A170&lt;&gt;"",YEAR(A170),"")</f>
        <v/>
      </c>
      <c r="D170" s="69"/>
      <c r="E170" s="69"/>
      <c r="F170" s="14"/>
    </row>
    <row r="171" customFormat="false" ht="16.5" hidden="false" customHeight="true" outlineLevel="0" collapsed="false">
      <c r="A171" s="70"/>
      <c r="B171" s="71" t="str">
        <f aca="false">IF(A171&lt;&gt;"",TEXT(A171,"mmm"),"")</f>
        <v/>
      </c>
      <c r="C171" s="71" t="str">
        <f aca="false">IF(A171&lt;&gt;"",YEAR(A171),"")</f>
        <v/>
      </c>
      <c r="D171" s="72"/>
      <c r="E171" s="72"/>
      <c r="F171" s="73"/>
    </row>
    <row r="172" customFormat="false" ht="16.5" hidden="false" customHeight="true" outlineLevel="0" collapsed="false">
      <c r="A172" s="67"/>
      <c r="B172" s="68" t="str">
        <f aca="false">IF(A172&lt;&gt;"",TEXT(A172,"mmm"),"")</f>
        <v/>
      </c>
      <c r="C172" s="68" t="str">
        <f aca="false">IF(A172&lt;&gt;"",YEAR(A172),"")</f>
        <v/>
      </c>
      <c r="D172" s="69"/>
      <c r="E172" s="69"/>
      <c r="F172" s="14"/>
    </row>
    <row r="173" customFormat="false" ht="16.5" hidden="false" customHeight="true" outlineLevel="0" collapsed="false">
      <c r="A173" s="70"/>
      <c r="B173" s="71" t="str">
        <f aca="false">IF(A173&lt;&gt;"",TEXT(A173,"mmm"),"")</f>
        <v/>
      </c>
      <c r="C173" s="71" t="str">
        <f aca="false">IF(A173&lt;&gt;"",YEAR(A173),"")</f>
        <v/>
      </c>
      <c r="D173" s="72"/>
      <c r="E173" s="72"/>
      <c r="F173" s="73"/>
    </row>
    <row r="174" customFormat="false" ht="16.5" hidden="false" customHeight="true" outlineLevel="0" collapsed="false">
      <c r="A174" s="67"/>
      <c r="B174" s="68" t="str">
        <f aca="false">IF(A174&lt;&gt;"",TEXT(A174,"mmm"),"")</f>
        <v/>
      </c>
      <c r="C174" s="68" t="str">
        <f aca="false">IF(A174&lt;&gt;"",YEAR(A174),"")</f>
        <v/>
      </c>
      <c r="D174" s="69"/>
      <c r="E174" s="69"/>
      <c r="F174" s="14"/>
    </row>
    <row r="175" customFormat="false" ht="16.5" hidden="false" customHeight="true" outlineLevel="0" collapsed="false">
      <c r="A175" s="70"/>
      <c r="B175" s="71" t="str">
        <f aca="false">IF(A175&lt;&gt;"",TEXT(A175,"mmm"),"")</f>
        <v/>
      </c>
      <c r="C175" s="71" t="str">
        <f aca="false">IF(A175&lt;&gt;"",YEAR(A175),"")</f>
        <v/>
      </c>
      <c r="D175" s="72"/>
      <c r="E175" s="72"/>
      <c r="F175" s="73"/>
    </row>
    <row r="176" customFormat="false" ht="16.5" hidden="false" customHeight="true" outlineLevel="0" collapsed="false">
      <c r="A176" s="67"/>
      <c r="B176" s="68" t="str">
        <f aca="false">IF(A176&lt;&gt;"",TEXT(A176,"mmm"),"")</f>
        <v/>
      </c>
      <c r="C176" s="68" t="str">
        <f aca="false">IF(A176&lt;&gt;"",YEAR(A176),"")</f>
        <v/>
      </c>
      <c r="D176" s="69"/>
      <c r="E176" s="69"/>
      <c r="F176" s="14"/>
    </row>
    <row r="177" customFormat="false" ht="16.5" hidden="false" customHeight="true" outlineLevel="0" collapsed="false">
      <c r="A177" s="70"/>
      <c r="B177" s="71" t="str">
        <f aca="false">IF(A177&lt;&gt;"",TEXT(A177,"mmm"),"")</f>
        <v/>
      </c>
      <c r="C177" s="71" t="str">
        <f aca="false">IF(A177&lt;&gt;"",YEAR(A177),"")</f>
        <v/>
      </c>
      <c r="D177" s="72"/>
      <c r="E177" s="72"/>
      <c r="F177" s="73"/>
    </row>
    <row r="178" customFormat="false" ht="16.5" hidden="false" customHeight="true" outlineLevel="0" collapsed="false">
      <c r="A178" s="67"/>
      <c r="B178" s="68" t="str">
        <f aca="false">IF(A178&lt;&gt;"",TEXT(A178,"mmm"),"")</f>
        <v/>
      </c>
      <c r="C178" s="68" t="str">
        <f aca="false">IF(A178&lt;&gt;"",YEAR(A178),"")</f>
        <v/>
      </c>
      <c r="D178" s="69"/>
      <c r="E178" s="69"/>
      <c r="F178" s="14"/>
    </row>
    <row r="179" customFormat="false" ht="16.5" hidden="false" customHeight="true" outlineLevel="0" collapsed="false">
      <c r="A179" s="70"/>
      <c r="B179" s="71" t="str">
        <f aca="false">IF(A179&lt;&gt;"",TEXT(A179,"mmm"),"")</f>
        <v/>
      </c>
      <c r="C179" s="71" t="str">
        <f aca="false">IF(A179&lt;&gt;"",YEAR(A179),"")</f>
        <v/>
      </c>
      <c r="D179" s="72"/>
      <c r="E179" s="72"/>
      <c r="F179" s="73"/>
    </row>
    <row r="180" customFormat="false" ht="16.5" hidden="false" customHeight="true" outlineLevel="0" collapsed="false">
      <c r="A180" s="67"/>
      <c r="B180" s="68" t="str">
        <f aca="false">IF(A180&lt;&gt;"",TEXT(A180,"mmm"),"")</f>
        <v/>
      </c>
      <c r="C180" s="68" t="str">
        <f aca="false">IF(A180&lt;&gt;"",YEAR(A180),"")</f>
        <v/>
      </c>
      <c r="D180" s="69"/>
      <c r="E180" s="69"/>
      <c r="F180" s="14"/>
    </row>
    <row r="181" customFormat="false" ht="16.5" hidden="false" customHeight="true" outlineLevel="0" collapsed="false">
      <c r="A181" s="70"/>
      <c r="B181" s="71" t="str">
        <f aca="false">IF(A181&lt;&gt;"",TEXT(A181,"mmm"),"")</f>
        <v/>
      </c>
      <c r="C181" s="71" t="str">
        <f aca="false">IF(A181&lt;&gt;"",YEAR(A181),"")</f>
        <v/>
      </c>
      <c r="D181" s="72"/>
      <c r="E181" s="72"/>
      <c r="F181" s="73"/>
    </row>
    <row r="182" customFormat="false" ht="16.5" hidden="false" customHeight="true" outlineLevel="0" collapsed="false">
      <c r="A182" s="67"/>
      <c r="B182" s="68" t="str">
        <f aca="false">IF(A182&lt;&gt;"",TEXT(A182,"mmm"),"")</f>
        <v/>
      </c>
      <c r="C182" s="68" t="str">
        <f aca="false">IF(A182&lt;&gt;"",YEAR(A182),"")</f>
        <v/>
      </c>
      <c r="D182" s="69"/>
      <c r="E182" s="69"/>
      <c r="F182" s="14"/>
    </row>
    <row r="183" customFormat="false" ht="16.5" hidden="false" customHeight="true" outlineLevel="0" collapsed="false">
      <c r="A183" s="70"/>
      <c r="B183" s="71" t="str">
        <f aca="false">IF(A183&lt;&gt;"",TEXT(A183,"mmm"),"")</f>
        <v/>
      </c>
      <c r="C183" s="71" t="str">
        <f aca="false">IF(A183&lt;&gt;"",YEAR(A183),"")</f>
        <v/>
      </c>
      <c r="D183" s="72"/>
      <c r="E183" s="72"/>
      <c r="F183" s="73"/>
    </row>
    <row r="184" customFormat="false" ht="16.5" hidden="false" customHeight="true" outlineLevel="0" collapsed="false">
      <c r="A184" s="67"/>
      <c r="B184" s="68" t="str">
        <f aca="false">IF(A184&lt;&gt;"",TEXT(A184,"mmm"),"")</f>
        <v/>
      </c>
      <c r="C184" s="68" t="str">
        <f aca="false">IF(A184&lt;&gt;"",YEAR(A184),"")</f>
        <v/>
      </c>
      <c r="D184" s="69"/>
      <c r="E184" s="69"/>
      <c r="F184" s="14"/>
    </row>
    <row r="185" customFormat="false" ht="16.5" hidden="false" customHeight="true" outlineLevel="0" collapsed="false">
      <c r="A185" s="70"/>
      <c r="B185" s="71" t="str">
        <f aca="false">IF(A185&lt;&gt;"",TEXT(A185,"mmm"),"")</f>
        <v/>
      </c>
      <c r="C185" s="71" t="str">
        <f aca="false">IF(A185&lt;&gt;"",YEAR(A185),"")</f>
        <v/>
      </c>
      <c r="D185" s="72"/>
      <c r="E185" s="72"/>
      <c r="F185" s="73"/>
    </row>
    <row r="186" customFormat="false" ht="16.5" hidden="false" customHeight="true" outlineLevel="0" collapsed="false">
      <c r="A186" s="67"/>
      <c r="B186" s="68" t="str">
        <f aca="false">IF(A186&lt;&gt;"",TEXT(A186,"mmm"),"")</f>
        <v/>
      </c>
      <c r="C186" s="68" t="str">
        <f aca="false">IF(A186&lt;&gt;"",YEAR(A186),"")</f>
        <v/>
      </c>
      <c r="D186" s="69"/>
      <c r="E186" s="69"/>
      <c r="F186" s="14"/>
    </row>
    <row r="187" customFormat="false" ht="16.5" hidden="false" customHeight="true" outlineLevel="0" collapsed="false">
      <c r="A187" s="70"/>
      <c r="B187" s="71" t="str">
        <f aca="false">IF(A187&lt;&gt;"",TEXT(A187,"mmm"),"")</f>
        <v/>
      </c>
      <c r="C187" s="71" t="str">
        <f aca="false">IF(A187&lt;&gt;"",YEAR(A187),"")</f>
        <v/>
      </c>
      <c r="D187" s="72"/>
      <c r="E187" s="72"/>
      <c r="F187" s="73"/>
    </row>
    <row r="188" customFormat="false" ht="16.5" hidden="false" customHeight="true" outlineLevel="0" collapsed="false">
      <c r="A188" s="67"/>
      <c r="B188" s="68" t="str">
        <f aca="false">IF(A188&lt;&gt;"",TEXT(A188,"mmm"),"")</f>
        <v/>
      </c>
      <c r="C188" s="68" t="str">
        <f aca="false">IF(A188&lt;&gt;"",YEAR(A188),"")</f>
        <v/>
      </c>
      <c r="D188" s="69"/>
      <c r="E188" s="69"/>
      <c r="F188" s="14"/>
    </row>
    <row r="189" customFormat="false" ht="16.5" hidden="false" customHeight="true" outlineLevel="0" collapsed="false">
      <c r="A189" s="70"/>
      <c r="B189" s="71" t="str">
        <f aca="false">IF(A189&lt;&gt;"",TEXT(A189,"mmm"),"")</f>
        <v/>
      </c>
      <c r="C189" s="71" t="str">
        <f aca="false">IF(A189&lt;&gt;"",YEAR(A189),"")</f>
        <v/>
      </c>
      <c r="D189" s="72"/>
      <c r="E189" s="72"/>
      <c r="F189" s="73"/>
    </row>
    <row r="190" customFormat="false" ht="16.5" hidden="false" customHeight="true" outlineLevel="0" collapsed="false">
      <c r="A190" s="67"/>
      <c r="B190" s="68" t="str">
        <f aca="false">IF(A190&lt;&gt;"",TEXT(A190,"mmm"),"")</f>
        <v/>
      </c>
      <c r="C190" s="68" t="str">
        <f aca="false">IF(A190&lt;&gt;"",YEAR(A190),"")</f>
        <v/>
      </c>
      <c r="D190" s="69"/>
      <c r="E190" s="69"/>
      <c r="F190" s="14"/>
    </row>
    <row r="191" customFormat="false" ht="16.5" hidden="false" customHeight="true" outlineLevel="0" collapsed="false">
      <c r="A191" s="70"/>
      <c r="B191" s="71" t="str">
        <f aca="false">IF(A191&lt;&gt;"",TEXT(A191,"mmm"),"")</f>
        <v/>
      </c>
      <c r="C191" s="71" t="str">
        <f aca="false">IF(A191&lt;&gt;"",YEAR(A191),"")</f>
        <v/>
      </c>
      <c r="D191" s="72"/>
      <c r="E191" s="72"/>
      <c r="F191" s="73"/>
    </row>
    <row r="192" customFormat="false" ht="16.5" hidden="false" customHeight="true" outlineLevel="0" collapsed="false">
      <c r="A192" s="67"/>
      <c r="B192" s="68" t="str">
        <f aca="false">IF(A192&lt;&gt;"",TEXT(A192,"mmm"),"")</f>
        <v/>
      </c>
      <c r="C192" s="68" t="str">
        <f aca="false">IF(A192&lt;&gt;"",YEAR(A192),"")</f>
        <v/>
      </c>
      <c r="D192" s="69"/>
      <c r="E192" s="69"/>
      <c r="F192" s="14"/>
    </row>
    <row r="193" customFormat="false" ht="16.5" hidden="false" customHeight="true" outlineLevel="0" collapsed="false">
      <c r="A193" s="70"/>
      <c r="B193" s="71" t="str">
        <f aca="false">IF(A193&lt;&gt;"",TEXT(A193,"mmm"),"")</f>
        <v/>
      </c>
      <c r="C193" s="71" t="str">
        <f aca="false">IF(A193&lt;&gt;"",YEAR(A193),"")</f>
        <v/>
      </c>
      <c r="D193" s="72"/>
      <c r="E193" s="72"/>
      <c r="F193" s="73"/>
    </row>
    <row r="194" customFormat="false" ht="16.5" hidden="false" customHeight="true" outlineLevel="0" collapsed="false">
      <c r="A194" s="67"/>
      <c r="B194" s="68" t="str">
        <f aca="false">IF(A194&lt;&gt;"",TEXT(A194,"mmm"),"")</f>
        <v/>
      </c>
      <c r="C194" s="68" t="str">
        <f aca="false">IF(A194&lt;&gt;"",YEAR(A194),"")</f>
        <v/>
      </c>
      <c r="D194" s="69"/>
      <c r="E194" s="69"/>
      <c r="F194" s="14"/>
    </row>
    <row r="195" customFormat="false" ht="16.5" hidden="false" customHeight="true" outlineLevel="0" collapsed="false">
      <c r="A195" s="70"/>
      <c r="B195" s="71" t="str">
        <f aca="false">IF(A195&lt;&gt;"",TEXT(A195,"mmm"),"")</f>
        <v/>
      </c>
      <c r="C195" s="71" t="str">
        <f aca="false">IF(A195&lt;&gt;"",YEAR(A195),"")</f>
        <v/>
      </c>
      <c r="D195" s="72"/>
      <c r="E195" s="72"/>
      <c r="F195" s="73"/>
    </row>
    <row r="196" customFormat="false" ht="16.5" hidden="false" customHeight="true" outlineLevel="0" collapsed="false">
      <c r="A196" s="67"/>
      <c r="B196" s="68" t="str">
        <f aca="false">IF(A196&lt;&gt;"",TEXT(A196,"mmm"),"")</f>
        <v/>
      </c>
      <c r="C196" s="68" t="str">
        <f aca="false">IF(A196&lt;&gt;"",YEAR(A196),"")</f>
        <v/>
      </c>
      <c r="D196" s="69"/>
      <c r="E196" s="69"/>
      <c r="F196" s="14"/>
    </row>
    <row r="197" customFormat="false" ht="16.5" hidden="false" customHeight="true" outlineLevel="0" collapsed="false">
      <c r="A197" s="70"/>
      <c r="B197" s="71" t="str">
        <f aca="false">IF(A197&lt;&gt;"",TEXT(A197,"mmm"),"")</f>
        <v/>
      </c>
      <c r="C197" s="71" t="str">
        <f aca="false">IF(A197&lt;&gt;"",YEAR(A197),"")</f>
        <v/>
      </c>
      <c r="D197" s="72"/>
      <c r="E197" s="72"/>
      <c r="F197" s="73"/>
    </row>
    <row r="198" customFormat="false" ht="16.5" hidden="false" customHeight="true" outlineLevel="0" collapsed="false">
      <c r="A198" s="67"/>
      <c r="B198" s="68" t="str">
        <f aca="false">IF(A198&lt;&gt;"",TEXT(A198,"mmm"),"")</f>
        <v/>
      </c>
      <c r="C198" s="68" t="str">
        <f aca="false">IF(A198&lt;&gt;"",YEAR(A198),"")</f>
        <v/>
      </c>
      <c r="D198" s="69"/>
      <c r="E198" s="69"/>
      <c r="F198" s="14"/>
    </row>
    <row r="199" customFormat="false" ht="16.5" hidden="false" customHeight="true" outlineLevel="0" collapsed="false">
      <c r="A199" s="70"/>
      <c r="B199" s="71" t="str">
        <f aca="false">IF(A199&lt;&gt;"",TEXT(A199,"mmm"),"")</f>
        <v/>
      </c>
      <c r="C199" s="71" t="str">
        <f aca="false">IF(A199&lt;&gt;"",YEAR(A199),"")</f>
        <v/>
      </c>
      <c r="D199" s="72"/>
      <c r="E199" s="72"/>
      <c r="F199" s="73"/>
    </row>
    <row r="200" customFormat="false" ht="16.5" hidden="false" customHeight="true" outlineLevel="0" collapsed="false">
      <c r="A200" s="67"/>
      <c r="B200" s="68" t="str">
        <f aca="false">IF(A200&lt;&gt;"",TEXT(A200,"mmm"),"")</f>
        <v/>
      </c>
      <c r="C200" s="68" t="str">
        <f aca="false">IF(A200&lt;&gt;"",YEAR(A200),"")</f>
        <v/>
      </c>
      <c r="D200" s="69"/>
      <c r="E200" s="69"/>
      <c r="F200" s="14"/>
    </row>
    <row r="201" customFormat="false" ht="16.5" hidden="false" customHeight="true" outlineLevel="0" collapsed="false">
      <c r="A201" s="70"/>
      <c r="B201" s="71" t="str">
        <f aca="false">IF(A201&lt;&gt;"",TEXT(A201,"mmm"),"")</f>
        <v/>
      </c>
      <c r="C201" s="71" t="str">
        <f aca="false">IF(A201&lt;&gt;"",YEAR(A201),"")</f>
        <v/>
      </c>
      <c r="D201" s="72"/>
      <c r="E201" s="72"/>
      <c r="F201" s="73"/>
    </row>
    <row r="202" customFormat="false" ht="16.5" hidden="false" customHeight="true" outlineLevel="0" collapsed="false">
      <c r="A202" s="67"/>
      <c r="B202" s="68" t="str">
        <f aca="false">IF(A202&lt;&gt;"",TEXT(A202,"mmm"),"")</f>
        <v/>
      </c>
      <c r="C202" s="68" t="str">
        <f aca="false">IF(A202&lt;&gt;"",YEAR(A202),"")</f>
        <v/>
      </c>
      <c r="D202" s="69"/>
      <c r="E202" s="69"/>
      <c r="F202" s="14"/>
    </row>
    <row r="203" customFormat="false" ht="16.5" hidden="false" customHeight="true" outlineLevel="0" collapsed="false">
      <c r="A203" s="70"/>
      <c r="B203" s="71" t="str">
        <f aca="false">IF(A203&lt;&gt;"",TEXT(A203,"mmm"),"")</f>
        <v/>
      </c>
      <c r="C203" s="71" t="str">
        <f aca="false">IF(A203&lt;&gt;"",YEAR(A203),"")</f>
        <v/>
      </c>
      <c r="D203" s="72"/>
      <c r="E203" s="72"/>
      <c r="F203" s="73"/>
    </row>
    <row r="204" customFormat="false" ht="16.5" hidden="false" customHeight="true" outlineLevel="0" collapsed="false">
      <c r="A204" s="67"/>
      <c r="B204" s="68" t="str">
        <f aca="false">IF(A204&lt;&gt;"",TEXT(A204,"mmm"),"")</f>
        <v/>
      </c>
      <c r="C204" s="68" t="str">
        <f aca="false">IF(A204&lt;&gt;"",YEAR(A204),"")</f>
        <v/>
      </c>
      <c r="D204" s="69"/>
      <c r="E204" s="69"/>
      <c r="F204" s="14"/>
    </row>
    <row r="205" customFormat="false" ht="16.5" hidden="false" customHeight="true" outlineLevel="0" collapsed="false">
      <c r="A205" s="70"/>
      <c r="B205" s="71" t="str">
        <f aca="false">IF(A205&lt;&gt;"",TEXT(A205,"mmm"),"")</f>
        <v/>
      </c>
      <c r="C205" s="71" t="str">
        <f aca="false">IF(A205&lt;&gt;"",YEAR(A205),"")</f>
        <v/>
      </c>
      <c r="D205" s="72"/>
      <c r="E205" s="72"/>
      <c r="F205" s="73"/>
    </row>
    <row r="206" customFormat="false" ht="16.5" hidden="false" customHeight="true" outlineLevel="0" collapsed="false">
      <c r="A206" s="67"/>
      <c r="B206" s="68" t="str">
        <f aca="false">IF(A206&lt;&gt;"",TEXT(A206,"mmm"),"")</f>
        <v/>
      </c>
      <c r="C206" s="68" t="str">
        <f aca="false">IF(A206&lt;&gt;"",YEAR(A206),"")</f>
        <v/>
      </c>
      <c r="D206" s="69"/>
      <c r="E206" s="69"/>
      <c r="F206" s="14"/>
    </row>
    <row r="207" customFormat="false" ht="16.5" hidden="false" customHeight="true" outlineLevel="0" collapsed="false">
      <c r="A207" s="70"/>
      <c r="B207" s="71" t="str">
        <f aca="false">IF(A207&lt;&gt;"",TEXT(A207,"mmm"),"")</f>
        <v/>
      </c>
      <c r="C207" s="71" t="str">
        <f aca="false">IF(A207&lt;&gt;"",YEAR(A207),"")</f>
        <v/>
      </c>
      <c r="D207" s="72"/>
      <c r="E207" s="72"/>
      <c r="F207" s="73"/>
    </row>
    <row r="208" customFormat="false" ht="16.5" hidden="false" customHeight="true" outlineLevel="0" collapsed="false">
      <c r="A208" s="67"/>
      <c r="B208" s="68" t="str">
        <f aca="false">IF(A208&lt;&gt;"",TEXT(A208,"mmm"),"")</f>
        <v/>
      </c>
      <c r="C208" s="68" t="str">
        <f aca="false">IF(A208&lt;&gt;"",YEAR(A208),"")</f>
        <v/>
      </c>
      <c r="D208" s="69"/>
      <c r="E208" s="69"/>
      <c r="F208" s="14"/>
    </row>
    <row r="209" customFormat="false" ht="16.5" hidden="false" customHeight="true" outlineLevel="0" collapsed="false">
      <c r="A209" s="70"/>
      <c r="B209" s="71" t="str">
        <f aca="false">IF(A209&lt;&gt;"",TEXT(A209,"mmm"),"")</f>
        <v/>
      </c>
      <c r="C209" s="71" t="str">
        <f aca="false">IF(A209&lt;&gt;"",YEAR(A209),"")</f>
        <v/>
      </c>
      <c r="D209" s="72"/>
      <c r="E209" s="72"/>
      <c r="F209" s="73"/>
    </row>
    <row r="210" customFormat="false" ht="16.5" hidden="false" customHeight="true" outlineLevel="0" collapsed="false">
      <c r="A210" s="67"/>
      <c r="B210" s="68" t="str">
        <f aca="false">IF(A210&lt;&gt;"",TEXT(A210,"mmm"),"")</f>
        <v/>
      </c>
      <c r="C210" s="68" t="str">
        <f aca="false">IF(A210&lt;&gt;"",YEAR(A210),"")</f>
        <v/>
      </c>
      <c r="D210" s="69"/>
      <c r="E210" s="69"/>
      <c r="F210" s="14"/>
    </row>
    <row r="211" customFormat="false" ht="16.5" hidden="false" customHeight="true" outlineLevel="0" collapsed="false">
      <c r="A211" s="70"/>
      <c r="B211" s="71" t="str">
        <f aca="false">IF(A211&lt;&gt;"",TEXT(A211,"mmm"),"")</f>
        <v/>
      </c>
      <c r="C211" s="71" t="str">
        <f aca="false">IF(A211&lt;&gt;"",YEAR(A211),"")</f>
        <v/>
      </c>
      <c r="D211" s="72"/>
      <c r="E211" s="72"/>
      <c r="F211" s="73"/>
    </row>
    <row r="212" customFormat="false" ht="16.5" hidden="false" customHeight="true" outlineLevel="0" collapsed="false">
      <c r="A212" s="67"/>
      <c r="B212" s="68" t="str">
        <f aca="false">IF(A212&lt;&gt;"",TEXT(A212,"mmm"),"")</f>
        <v/>
      </c>
      <c r="C212" s="68" t="str">
        <f aca="false">IF(A212&lt;&gt;"",YEAR(A212),"")</f>
        <v/>
      </c>
      <c r="D212" s="69"/>
      <c r="E212" s="69"/>
      <c r="F212" s="14"/>
    </row>
    <row r="213" customFormat="false" ht="16.5" hidden="false" customHeight="true" outlineLevel="0" collapsed="false">
      <c r="A213" s="70"/>
      <c r="B213" s="71" t="str">
        <f aca="false">IF(A213&lt;&gt;"",TEXT(A213,"mmm"),"")</f>
        <v/>
      </c>
      <c r="C213" s="71" t="str">
        <f aca="false">IF(A213&lt;&gt;"",YEAR(A213),"")</f>
        <v/>
      </c>
      <c r="D213" s="72"/>
      <c r="E213" s="72"/>
      <c r="F213" s="73"/>
    </row>
    <row r="214" customFormat="false" ht="16.5" hidden="false" customHeight="true" outlineLevel="0" collapsed="false">
      <c r="A214" s="67"/>
      <c r="B214" s="68" t="str">
        <f aca="false">IF(A214&lt;&gt;"",TEXT(A214,"mmm"),"")</f>
        <v/>
      </c>
      <c r="C214" s="68" t="str">
        <f aca="false">IF(A214&lt;&gt;"",YEAR(A214),"")</f>
        <v/>
      </c>
      <c r="D214" s="69"/>
      <c r="E214" s="69"/>
      <c r="F214" s="14"/>
    </row>
    <row r="215" customFormat="false" ht="16.5" hidden="false" customHeight="true" outlineLevel="0" collapsed="false">
      <c r="A215" s="70"/>
      <c r="B215" s="71" t="str">
        <f aca="false">IF(A215&lt;&gt;"",TEXT(A215,"mmm"),"")</f>
        <v/>
      </c>
      <c r="C215" s="71" t="str">
        <f aca="false">IF(A215&lt;&gt;"",YEAR(A215),"")</f>
        <v/>
      </c>
      <c r="D215" s="72"/>
      <c r="E215" s="72"/>
      <c r="F215" s="73"/>
    </row>
    <row r="216" customFormat="false" ht="16.5" hidden="false" customHeight="true" outlineLevel="0" collapsed="false">
      <c r="A216" s="67"/>
      <c r="B216" s="68" t="str">
        <f aca="false">IF(A216&lt;&gt;"",TEXT(A216,"mmm"),"")</f>
        <v/>
      </c>
      <c r="C216" s="68" t="str">
        <f aca="false">IF(A216&lt;&gt;"",YEAR(A216),"")</f>
        <v/>
      </c>
      <c r="D216" s="69"/>
      <c r="E216" s="69"/>
      <c r="F216" s="14"/>
    </row>
    <row r="217" customFormat="false" ht="16.5" hidden="false" customHeight="true" outlineLevel="0" collapsed="false">
      <c r="A217" s="70"/>
      <c r="B217" s="71" t="str">
        <f aca="false">IF(A217&lt;&gt;"",TEXT(A217,"mmm"),"")</f>
        <v/>
      </c>
      <c r="C217" s="71" t="str">
        <f aca="false">IF(A217&lt;&gt;"",YEAR(A217),"")</f>
        <v/>
      </c>
      <c r="D217" s="72"/>
      <c r="E217" s="72"/>
      <c r="F217" s="73"/>
    </row>
    <row r="218" customFormat="false" ht="16.5" hidden="false" customHeight="true" outlineLevel="0" collapsed="false">
      <c r="A218" s="67"/>
      <c r="B218" s="68" t="str">
        <f aca="false">IF(A218&lt;&gt;"",TEXT(A218,"mmm"),"")</f>
        <v/>
      </c>
      <c r="C218" s="68" t="str">
        <f aca="false">IF(A218&lt;&gt;"",YEAR(A218),"")</f>
        <v/>
      </c>
      <c r="D218" s="69"/>
      <c r="E218" s="69"/>
      <c r="F218" s="14"/>
    </row>
    <row r="219" customFormat="false" ht="16.5" hidden="false" customHeight="true" outlineLevel="0" collapsed="false">
      <c r="A219" s="70"/>
      <c r="B219" s="71" t="str">
        <f aca="false">IF(A219&lt;&gt;"",TEXT(A219,"mmm"),"")</f>
        <v/>
      </c>
      <c r="C219" s="71" t="str">
        <f aca="false">IF(A219&lt;&gt;"",YEAR(A219),"")</f>
        <v/>
      </c>
      <c r="D219" s="72"/>
      <c r="E219" s="72"/>
      <c r="F219" s="73"/>
    </row>
    <row r="220" customFormat="false" ht="16.5" hidden="false" customHeight="true" outlineLevel="0" collapsed="false">
      <c r="A220" s="67"/>
      <c r="B220" s="68" t="str">
        <f aca="false">IF(A220&lt;&gt;"",TEXT(A220,"mmm"),"")</f>
        <v/>
      </c>
      <c r="C220" s="68" t="str">
        <f aca="false">IF(A220&lt;&gt;"",YEAR(A220),"")</f>
        <v/>
      </c>
      <c r="D220" s="69"/>
      <c r="E220" s="69"/>
      <c r="F220" s="14"/>
    </row>
    <row r="221" customFormat="false" ht="16.5" hidden="false" customHeight="true" outlineLevel="0" collapsed="false">
      <c r="A221" s="70"/>
      <c r="B221" s="71" t="str">
        <f aca="false">IF(A221&lt;&gt;"",TEXT(A221,"mmm"),"")</f>
        <v/>
      </c>
      <c r="C221" s="71" t="str">
        <f aca="false">IF(A221&lt;&gt;"",YEAR(A221),"")</f>
        <v/>
      </c>
      <c r="D221" s="72"/>
      <c r="E221" s="72"/>
      <c r="F221" s="73"/>
    </row>
    <row r="222" customFormat="false" ht="16.5" hidden="false" customHeight="true" outlineLevel="0" collapsed="false">
      <c r="A222" s="67"/>
      <c r="B222" s="68" t="str">
        <f aca="false">IF(A222&lt;&gt;"",TEXT(A222,"mmm"),"")</f>
        <v/>
      </c>
      <c r="C222" s="68" t="str">
        <f aca="false">IF(A222&lt;&gt;"",YEAR(A222),"")</f>
        <v/>
      </c>
      <c r="D222" s="69"/>
      <c r="E222" s="69"/>
      <c r="F222" s="14"/>
    </row>
    <row r="223" customFormat="false" ht="16.5" hidden="false" customHeight="true" outlineLevel="0" collapsed="false">
      <c r="A223" s="70"/>
      <c r="B223" s="71" t="str">
        <f aca="false">IF(A223&lt;&gt;"",TEXT(A223,"mmm"),"")</f>
        <v/>
      </c>
      <c r="C223" s="71" t="str">
        <f aca="false">IF(A223&lt;&gt;"",YEAR(A223),"")</f>
        <v/>
      </c>
      <c r="D223" s="72"/>
      <c r="E223" s="72"/>
      <c r="F223" s="73"/>
    </row>
    <row r="224" customFormat="false" ht="16.5" hidden="false" customHeight="true" outlineLevel="0" collapsed="false">
      <c r="A224" s="67"/>
      <c r="B224" s="68" t="str">
        <f aca="false">IF(A224&lt;&gt;"",TEXT(A224,"mmm"),"")</f>
        <v/>
      </c>
      <c r="C224" s="68" t="str">
        <f aca="false">IF(A224&lt;&gt;"",YEAR(A224),"")</f>
        <v/>
      </c>
      <c r="D224" s="69"/>
      <c r="E224" s="69"/>
      <c r="F224" s="14"/>
    </row>
    <row r="225" customFormat="false" ht="16.5" hidden="false" customHeight="true" outlineLevel="0" collapsed="false">
      <c r="A225" s="70"/>
      <c r="B225" s="71" t="str">
        <f aca="false">IF(A225&lt;&gt;"",TEXT(A225,"mmm"),"")</f>
        <v/>
      </c>
      <c r="C225" s="71" t="str">
        <f aca="false">IF(A225&lt;&gt;"",YEAR(A225),"")</f>
        <v/>
      </c>
      <c r="D225" s="72"/>
      <c r="E225" s="72"/>
      <c r="F225" s="73"/>
    </row>
    <row r="226" customFormat="false" ht="16.5" hidden="false" customHeight="true" outlineLevel="0" collapsed="false">
      <c r="A226" s="67"/>
      <c r="B226" s="68" t="str">
        <f aca="false">IF(A226&lt;&gt;"",TEXT(A226,"mmm"),"")</f>
        <v/>
      </c>
      <c r="C226" s="68" t="str">
        <f aca="false">IF(A226&lt;&gt;"",YEAR(A226),"")</f>
        <v/>
      </c>
      <c r="D226" s="69"/>
      <c r="E226" s="69"/>
      <c r="F226" s="14"/>
    </row>
    <row r="227" customFormat="false" ht="16.5" hidden="false" customHeight="true" outlineLevel="0" collapsed="false">
      <c r="A227" s="70"/>
      <c r="B227" s="71" t="str">
        <f aca="false">IF(A227&lt;&gt;"",TEXT(A227,"mmm"),"")</f>
        <v/>
      </c>
      <c r="C227" s="71" t="str">
        <f aca="false">IF(A227&lt;&gt;"",YEAR(A227),"")</f>
        <v/>
      </c>
      <c r="D227" s="72"/>
      <c r="E227" s="72"/>
      <c r="F227" s="73"/>
    </row>
    <row r="228" customFormat="false" ht="16.5" hidden="false" customHeight="true" outlineLevel="0" collapsed="false">
      <c r="A228" s="67"/>
      <c r="B228" s="68" t="str">
        <f aca="false">IF(A228&lt;&gt;"",TEXT(A228,"mmm"),"")</f>
        <v/>
      </c>
      <c r="C228" s="68" t="str">
        <f aca="false">IF(A228&lt;&gt;"",YEAR(A228),"")</f>
        <v/>
      </c>
      <c r="D228" s="69"/>
      <c r="E228" s="69"/>
      <c r="F228" s="14"/>
    </row>
    <row r="229" customFormat="false" ht="16.5" hidden="false" customHeight="true" outlineLevel="0" collapsed="false">
      <c r="A229" s="70"/>
      <c r="B229" s="71" t="str">
        <f aca="false">IF(A229&lt;&gt;"",TEXT(A229,"mmm"),"")</f>
        <v/>
      </c>
      <c r="C229" s="71" t="str">
        <f aca="false">IF(A229&lt;&gt;"",YEAR(A229),"")</f>
        <v/>
      </c>
      <c r="D229" s="72"/>
      <c r="E229" s="72"/>
      <c r="F229" s="73"/>
    </row>
    <row r="230" customFormat="false" ht="16.5" hidden="false" customHeight="true" outlineLevel="0" collapsed="false">
      <c r="A230" s="67"/>
      <c r="B230" s="68" t="str">
        <f aca="false">IF(A230&lt;&gt;"",TEXT(A230,"mmm"),"")</f>
        <v/>
      </c>
      <c r="C230" s="68" t="str">
        <f aca="false">IF(A230&lt;&gt;"",YEAR(A230),"")</f>
        <v/>
      </c>
      <c r="D230" s="69"/>
      <c r="E230" s="69"/>
      <c r="F230" s="14"/>
    </row>
    <row r="231" customFormat="false" ht="16.5" hidden="false" customHeight="true" outlineLevel="0" collapsed="false">
      <c r="A231" s="70"/>
      <c r="B231" s="71" t="str">
        <f aca="false">IF(A231&lt;&gt;"",TEXT(A231,"mmm"),"")</f>
        <v/>
      </c>
      <c r="C231" s="71" t="str">
        <f aca="false">IF(A231&lt;&gt;"",YEAR(A231),"")</f>
        <v/>
      </c>
      <c r="D231" s="72"/>
      <c r="E231" s="72"/>
      <c r="F231" s="73"/>
    </row>
    <row r="232" customFormat="false" ht="16.5" hidden="false" customHeight="true" outlineLevel="0" collapsed="false">
      <c r="A232" s="67"/>
      <c r="B232" s="68" t="str">
        <f aca="false">IF(A232&lt;&gt;"",TEXT(A232,"mmm"),"")</f>
        <v/>
      </c>
      <c r="C232" s="68" t="str">
        <f aca="false">IF(A232&lt;&gt;"",YEAR(A232),"")</f>
        <v/>
      </c>
      <c r="D232" s="69"/>
      <c r="E232" s="69"/>
      <c r="F232" s="14"/>
    </row>
    <row r="233" customFormat="false" ht="16.5" hidden="false" customHeight="true" outlineLevel="0" collapsed="false">
      <c r="A233" s="70"/>
      <c r="B233" s="71" t="str">
        <f aca="false">IF(A233&lt;&gt;"",TEXT(A233,"mmm"),"")</f>
        <v/>
      </c>
      <c r="C233" s="71" t="str">
        <f aca="false">IF(A233&lt;&gt;"",YEAR(A233),"")</f>
        <v/>
      </c>
      <c r="D233" s="72"/>
      <c r="E233" s="72"/>
      <c r="F233" s="73"/>
    </row>
    <row r="234" customFormat="false" ht="16.5" hidden="false" customHeight="true" outlineLevel="0" collapsed="false">
      <c r="A234" s="67"/>
      <c r="B234" s="68" t="str">
        <f aca="false">IF(A234&lt;&gt;"",TEXT(A234,"mmm"),"")</f>
        <v/>
      </c>
      <c r="C234" s="68" t="str">
        <f aca="false">IF(A234&lt;&gt;"",YEAR(A234),"")</f>
        <v/>
      </c>
      <c r="D234" s="69"/>
      <c r="E234" s="69"/>
      <c r="F234" s="14"/>
    </row>
    <row r="235" customFormat="false" ht="16.5" hidden="false" customHeight="true" outlineLevel="0" collapsed="false">
      <c r="A235" s="70"/>
      <c r="B235" s="71" t="str">
        <f aca="false">IF(A235&lt;&gt;"",TEXT(A235,"mmm"),"")</f>
        <v/>
      </c>
      <c r="C235" s="71" t="str">
        <f aca="false">IF(A235&lt;&gt;"",YEAR(A235),"")</f>
        <v/>
      </c>
      <c r="D235" s="72"/>
      <c r="E235" s="72"/>
      <c r="F235" s="73"/>
    </row>
    <row r="236" customFormat="false" ht="16.5" hidden="false" customHeight="true" outlineLevel="0" collapsed="false">
      <c r="A236" s="67"/>
      <c r="B236" s="68" t="str">
        <f aca="false">IF(A236&lt;&gt;"",TEXT(A236,"mmm"),"")</f>
        <v/>
      </c>
      <c r="C236" s="68" t="str">
        <f aca="false">IF(A236&lt;&gt;"",YEAR(A236),"")</f>
        <v/>
      </c>
      <c r="D236" s="69"/>
      <c r="E236" s="69"/>
      <c r="F236" s="14"/>
    </row>
    <row r="237" customFormat="false" ht="16.5" hidden="false" customHeight="true" outlineLevel="0" collapsed="false">
      <c r="A237" s="70"/>
      <c r="B237" s="71" t="str">
        <f aca="false">IF(A237&lt;&gt;"",TEXT(A237,"mmm"),"")</f>
        <v/>
      </c>
      <c r="C237" s="71" t="str">
        <f aca="false">IF(A237&lt;&gt;"",YEAR(A237),"")</f>
        <v/>
      </c>
      <c r="D237" s="72"/>
      <c r="E237" s="72"/>
      <c r="F237" s="73"/>
    </row>
    <row r="238" customFormat="false" ht="16.5" hidden="false" customHeight="true" outlineLevel="0" collapsed="false">
      <c r="A238" s="67"/>
      <c r="B238" s="68" t="str">
        <f aca="false">IF(A238&lt;&gt;"",TEXT(A238,"mmm"),"")</f>
        <v/>
      </c>
      <c r="C238" s="68" t="str">
        <f aca="false">IF(A238&lt;&gt;"",YEAR(A238),"")</f>
        <v/>
      </c>
      <c r="D238" s="69"/>
      <c r="E238" s="69"/>
      <c r="F238" s="14"/>
    </row>
    <row r="239" customFormat="false" ht="16.5" hidden="false" customHeight="true" outlineLevel="0" collapsed="false">
      <c r="A239" s="70"/>
      <c r="B239" s="71" t="str">
        <f aca="false">IF(A239&lt;&gt;"",TEXT(A239,"mmm"),"")</f>
        <v/>
      </c>
      <c r="C239" s="71" t="str">
        <f aca="false">IF(A239&lt;&gt;"",YEAR(A239),"")</f>
        <v/>
      </c>
      <c r="D239" s="72"/>
      <c r="E239" s="72"/>
      <c r="F239" s="73"/>
    </row>
    <row r="240" customFormat="false" ht="16.5" hidden="false" customHeight="true" outlineLevel="0" collapsed="false">
      <c r="A240" s="67"/>
      <c r="B240" s="68" t="str">
        <f aca="false">IF(A240&lt;&gt;"",TEXT(A240,"mmm"),"")</f>
        <v/>
      </c>
      <c r="C240" s="68" t="str">
        <f aca="false">IF(A240&lt;&gt;"",YEAR(A240),"")</f>
        <v/>
      </c>
      <c r="D240" s="69"/>
      <c r="E240" s="69"/>
      <c r="F240" s="14"/>
    </row>
    <row r="241" customFormat="false" ht="16.5" hidden="false" customHeight="true" outlineLevel="0" collapsed="false">
      <c r="A241" s="70"/>
      <c r="B241" s="71" t="str">
        <f aca="false">IF(A241&lt;&gt;"",TEXT(A241,"mmm"),"")</f>
        <v/>
      </c>
      <c r="C241" s="71" t="str">
        <f aca="false">IF(A241&lt;&gt;"",YEAR(A241),"")</f>
        <v/>
      </c>
      <c r="D241" s="72"/>
      <c r="E241" s="72"/>
      <c r="F241" s="73"/>
    </row>
    <row r="242" customFormat="false" ht="16.5" hidden="false" customHeight="true" outlineLevel="0" collapsed="false">
      <c r="A242" s="67"/>
      <c r="B242" s="68" t="str">
        <f aca="false">IF(A242&lt;&gt;"",TEXT(A242,"mmm"),"")</f>
        <v/>
      </c>
      <c r="C242" s="68" t="str">
        <f aca="false">IF(A242&lt;&gt;"",YEAR(A242),"")</f>
        <v/>
      </c>
      <c r="D242" s="69"/>
      <c r="E242" s="69"/>
      <c r="F242" s="14"/>
    </row>
    <row r="243" customFormat="false" ht="16.5" hidden="false" customHeight="true" outlineLevel="0" collapsed="false">
      <c r="A243" s="70"/>
      <c r="B243" s="71" t="str">
        <f aca="false">IF(A243&lt;&gt;"",TEXT(A243,"mmm"),"")</f>
        <v/>
      </c>
      <c r="C243" s="71" t="str">
        <f aca="false">IF(A243&lt;&gt;"",YEAR(A243),"")</f>
        <v/>
      </c>
      <c r="D243" s="72"/>
      <c r="E243" s="72"/>
      <c r="F243" s="73"/>
    </row>
    <row r="244" customFormat="false" ht="16.5" hidden="false" customHeight="true" outlineLevel="0" collapsed="false">
      <c r="A244" s="67"/>
      <c r="B244" s="68" t="str">
        <f aca="false">IF(A244&lt;&gt;"",TEXT(A244,"mmm"),"")</f>
        <v/>
      </c>
      <c r="C244" s="68" t="str">
        <f aca="false">IF(A244&lt;&gt;"",YEAR(A244),"")</f>
        <v/>
      </c>
      <c r="D244" s="69"/>
      <c r="E244" s="69"/>
      <c r="F244" s="14"/>
    </row>
    <row r="245" customFormat="false" ht="16.5" hidden="false" customHeight="true" outlineLevel="0" collapsed="false">
      <c r="A245" s="70"/>
      <c r="B245" s="71" t="str">
        <f aca="false">IF(A245&lt;&gt;"",TEXT(A245,"mmm"),"")</f>
        <v/>
      </c>
      <c r="C245" s="71" t="str">
        <f aca="false">IF(A245&lt;&gt;"",YEAR(A245),"")</f>
        <v/>
      </c>
      <c r="D245" s="72"/>
      <c r="E245" s="72"/>
      <c r="F245" s="73"/>
    </row>
    <row r="246" customFormat="false" ht="16.5" hidden="false" customHeight="true" outlineLevel="0" collapsed="false">
      <c r="A246" s="67"/>
      <c r="B246" s="68" t="str">
        <f aca="false">IF(A246&lt;&gt;"",TEXT(A246,"mmm"),"")</f>
        <v/>
      </c>
      <c r="C246" s="68" t="str">
        <f aca="false">IF(A246&lt;&gt;"",YEAR(A246),"")</f>
        <v/>
      </c>
      <c r="D246" s="69"/>
      <c r="E246" s="69"/>
      <c r="F246" s="14"/>
    </row>
    <row r="247" customFormat="false" ht="16.5" hidden="false" customHeight="true" outlineLevel="0" collapsed="false">
      <c r="A247" s="70"/>
      <c r="B247" s="71" t="str">
        <f aca="false">IF(A247&lt;&gt;"",TEXT(A247,"mmm"),"")</f>
        <v/>
      </c>
      <c r="C247" s="71" t="str">
        <f aca="false">IF(A247&lt;&gt;"",YEAR(A247),"")</f>
        <v/>
      </c>
      <c r="D247" s="72"/>
      <c r="E247" s="72"/>
      <c r="F247" s="73"/>
    </row>
    <row r="248" customFormat="false" ht="16.5" hidden="false" customHeight="true" outlineLevel="0" collapsed="false">
      <c r="A248" s="67"/>
      <c r="B248" s="68" t="str">
        <f aca="false">IF(A248&lt;&gt;"",TEXT(A248,"mmm"),"")</f>
        <v/>
      </c>
      <c r="C248" s="68" t="str">
        <f aca="false">IF(A248&lt;&gt;"",YEAR(A248),"")</f>
        <v/>
      </c>
      <c r="D248" s="69"/>
      <c r="E248" s="69"/>
      <c r="F248" s="14"/>
    </row>
    <row r="249" customFormat="false" ht="16.5" hidden="false" customHeight="true" outlineLevel="0" collapsed="false">
      <c r="A249" s="70"/>
      <c r="B249" s="71" t="str">
        <f aca="false">IF(A249&lt;&gt;"",TEXT(A249,"mmm"),"")</f>
        <v/>
      </c>
      <c r="C249" s="71" t="str">
        <f aca="false">IF(A249&lt;&gt;"",YEAR(A249),"")</f>
        <v/>
      </c>
      <c r="D249" s="72"/>
      <c r="E249" s="72"/>
      <c r="F249" s="73"/>
    </row>
    <row r="250" customFormat="false" ht="16.5" hidden="false" customHeight="true" outlineLevel="0" collapsed="false">
      <c r="A250" s="67"/>
      <c r="B250" s="68" t="str">
        <f aca="false">IF(A250&lt;&gt;"",TEXT(A250,"mmm"),"")</f>
        <v/>
      </c>
      <c r="C250" s="68" t="str">
        <f aca="false">IF(A250&lt;&gt;"",YEAR(A250),"")</f>
        <v/>
      </c>
      <c r="D250" s="69"/>
      <c r="E250" s="69"/>
      <c r="F250" s="14"/>
    </row>
    <row r="251" customFormat="false" ht="16.5" hidden="false" customHeight="true" outlineLevel="0" collapsed="false">
      <c r="A251" s="70"/>
      <c r="B251" s="71" t="str">
        <f aca="false">IF(A251&lt;&gt;"",TEXT(A251,"mmm"),"")</f>
        <v/>
      </c>
      <c r="C251" s="71" t="str">
        <f aca="false">IF(A251&lt;&gt;"",YEAR(A251),"")</f>
        <v/>
      </c>
      <c r="D251" s="72"/>
      <c r="E251" s="72"/>
      <c r="F251" s="73"/>
    </row>
    <row r="252" customFormat="false" ht="16.5" hidden="false" customHeight="true" outlineLevel="0" collapsed="false">
      <c r="A252" s="67"/>
      <c r="B252" s="68" t="str">
        <f aca="false">IF(A252&lt;&gt;"",TEXT(A252,"mmm"),"")</f>
        <v/>
      </c>
      <c r="C252" s="68" t="str">
        <f aca="false">IF(A252&lt;&gt;"",YEAR(A252),"")</f>
        <v/>
      </c>
      <c r="D252" s="69"/>
      <c r="E252" s="69"/>
      <c r="F252" s="14"/>
    </row>
    <row r="253" customFormat="false" ht="16.5" hidden="false" customHeight="true" outlineLevel="0" collapsed="false">
      <c r="A253" s="70"/>
      <c r="B253" s="71" t="str">
        <f aca="false">IF(A253&lt;&gt;"",TEXT(A253,"mmm"),"")</f>
        <v/>
      </c>
      <c r="C253" s="71" t="str">
        <f aca="false">IF(A253&lt;&gt;"",YEAR(A253),"")</f>
        <v/>
      </c>
      <c r="D253" s="72"/>
      <c r="E253" s="72"/>
      <c r="F253" s="73"/>
    </row>
    <row r="254" customFormat="false" ht="16.5" hidden="false" customHeight="true" outlineLevel="0" collapsed="false">
      <c r="A254" s="67"/>
      <c r="B254" s="68" t="str">
        <f aca="false">IF(A254&lt;&gt;"",TEXT(A254,"mmm"),"")</f>
        <v/>
      </c>
      <c r="C254" s="68" t="str">
        <f aca="false">IF(A254&lt;&gt;"",YEAR(A254),"")</f>
        <v/>
      </c>
      <c r="D254" s="69"/>
      <c r="E254" s="69"/>
      <c r="F254" s="14"/>
    </row>
    <row r="255" customFormat="false" ht="16.5" hidden="false" customHeight="true" outlineLevel="0" collapsed="false">
      <c r="A255" s="70"/>
      <c r="B255" s="71" t="str">
        <f aca="false">IF(A255&lt;&gt;"",TEXT(A255,"mmm"),"")</f>
        <v/>
      </c>
      <c r="C255" s="71" t="str">
        <f aca="false">IF(A255&lt;&gt;"",YEAR(A255),"")</f>
        <v/>
      </c>
      <c r="D255" s="72"/>
      <c r="E255" s="72"/>
      <c r="F255" s="73"/>
    </row>
    <row r="256" customFormat="false" ht="16.5" hidden="false" customHeight="true" outlineLevel="0" collapsed="false">
      <c r="A256" s="67"/>
      <c r="B256" s="68" t="str">
        <f aca="false">IF(A256&lt;&gt;"",TEXT(A256,"mmm"),"")</f>
        <v/>
      </c>
      <c r="C256" s="68" t="str">
        <f aca="false">IF(A256&lt;&gt;"",YEAR(A256),"")</f>
        <v/>
      </c>
      <c r="D256" s="69"/>
      <c r="E256" s="69"/>
      <c r="F256" s="14"/>
    </row>
    <row r="257" customFormat="false" ht="16.5" hidden="false" customHeight="true" outlineLevel="0" collapsed="false">
      <c r="A257" s="70"/>
      <c r="B257" s="71" t="str">
        <f aca="false">IF(A257&lt;&gt;"",TEXT(A257,"mmm"),"")</f>
        <v/>
      </c>
      <c r="C257" s="71" t="str">
        <f aca="false">IF(A257&lt;&gt;"",YEAR(A257),"")</f>
        <v/>
      </c>
      <c r="D257" s="72"/>
      <c r="E257" s="72"/>
      <c r="F257" s="73"/>
    </row>
    <row r="258" customFormat="false" ht="16.5" hidden="false" customHeight="true" outlineLevel="0" collapsed="false">
      <c r="A258" s="67"/>
      <c r="B258" s="68" t="str">
        <f aca="false">IF(A258&lt;&gt;"",TEXT(A258,"mmm"),"")</f>
        <v/>
      </c>
      <c r="C258" s="68" t="str">
        <f aca="false">IF(A258&lt;&gt;"",YEAR(A258),"")</f>
        <v/>
      </c>
      <c r="D258" s="69"/>
      <c r="E258" s="69"/>
      <c r="F258" s="14"/>
    </row>
    <row r="259" customFormat="false" ht="16.5" hidden="false" customHeight="true" outlineLevel="0" collapsed="false">
      <c r="A259" s="70"/>
      <c r="B259" s="71" t="str">
        <f aca="false">IF(A259&lt;&gt;"",TEXT(A259,"mmm"),"")</f>
        <v/>
      </c>
      <c r="C259" s="71" t="str">
        <f aca="false">IF(A259&lt;&gt;"",YEAR(A259),"")</f>
        <v/>
      </c>
      <c r="D259" s="72"/>
      <c r="E259" s="72"/>
      <c r="F259" s="73"/>
    </row>
    <row r="260" customFormat="false" ht="16.5" hidden="false" customHeight="true" outlineLevel="0" collapsed="false">
      <c r="A260" s="67"/>
      <c r="B260" s="68" t="str">
        <f aca="false">IF(A260&lt;&gt;"",TEXT(A260,"mmm"),"")</f>
        <v/>
      </c>
      <c r="C260" s="68" t="str">
        <f aca="false">IF(A260&lt;&gt;"",YEAR(A260),"")</f>
        <v/>
      </c>
      <c r="D260" s="69"/>
      <c r="E260" s="69"/>
      <c r="F260" s="14"/>
    </row>
    <row r="261" customFormat="false" ht="16.5" hidden="false" customHeight="true" outlineLevel="0" collapsed="false">
      <c r="A261" s="70"/>
      <c r="B261" s="71" t="str">
        <f aca="false">IF(A261&lt;&gt;"",TEXT(A261,"mmm"),"")</f>
        <v/>
      </c>
      <c r="C261" s="71" t="str">
        <f aca="false">IF(A261&lt;&gt;"",YEAR(A261),"")</f>
        <v/>
      </c>
      <c r="D261" s="72"/>
      <c r="E261" s="72"/>
      <c r="F261" s="73"/>
    </row>
    <row r="262" customFormat="false" ht="16.5" hidden="false" customHeight="true" outlineLevel="0" collapsed="false">
      <c r="A262" s="67"/>
      <c r="B262" s="68" t="str">
        <f aca="false">IF(A262&lt;&gt;"",TEXT(A262,"mmm"),"")</f>
        <v/>
      </c>
      <c r="C262" s="68" t="str">
        <f aca="false">IF(A262&lt;&gt;"",YEAR(A262),"")</f>
        <v/>
      </c>
      <c r="D262" s="69"/>
      <c r="E262" s="69"/>
      <c r="F262" s="14"/>
    </row>
    <row r="263" customFormat="false" ht="16.5" hidden="false" customHeight="true" outlineLevel="0" collapsed="false">
      <c r="A263" s="70"/>
      <c r="B263" s="71" t="str">
        <f aca="false">IF(A263&lt;&gt;"",TEXT(A263,"mmm"),"")</f>
        <v/>
      </c>
      <c r="C263" s="71" t="str">
        <f aca="false">IF(A263&lt;&gt;"",YEAR(A263),"")</f>
        <v/>
      </c>
      <c r="D263" s="72"/>
      <c r="E263" s="72"/>
      <c r="F263" s="73"/>
    </row>
    <row r="264" customFormat="false" ht="16.5" hidden="false" customHeight="true" outlineLevel="0" collapsed="false">
      <c r="A264" s="67"/>
      <c r="B264" s="68" t="str">
        <f aca="false">IF(A264&lt;&gt;"",TEXT(A264,"mmm"),"")</f>
        <v/>
      </c>
      <c r="C264" s="68" t="str">
        <f aca="false">IF(A264&lt;&gt;"",YEAR(A264),"")</f>
        <v/>
      </c>
      <c r="D264" s="69"/>
      <c r="E264" s="69"/>
      <c r="F264" s="14"/>
    </row>
    <row r="265" customFormat="false" ht="16.5" hidden="false" customHeight="true" outlineLevel="0" collapsed="false">
      <c r="A265" s="70"/>
      <c r="B265" s="71" t="str">
        <f aca="false">IF(A265&lt;&gt;"",TEXT(A265,"mmm"),"")</f>
        <v/>
      </c>
      <c r="C265" s="71" t="str">
        <f aca="false">IF(A265&lt;&gt;"",YEAR(A265),"")</f>
        <v/>
      </c>
      <c r="D265" s="72"/>
      <c r="E265" s="72"/>
      <c r="F265" s="73"/>
    </row>
    <row r="266" customFormat="false" ht="16.5" hidden="false" customHeight="true" outlineLevel="0" collapsed="false">
      <c r="A266" s="67"/>
      <c r="B266" s="68" t="str">
        <f aca="false">IF(A266&lt;&gt;"",TEXT(A266,"mmm"),"")</f>
        <v/>
      </c>
      <c r="C266" s="68" t="str">
        <f aca="false">IF(A266&lt;&gt;"",YEAR(A266),"")</f>
        <v/>
      </c>
      <c r="D266" s="69"/>
      <c r="E266" s="69"/>
      <c r="F266" s="14"/>
    </row>
    <row r="267" customFormat="false" ht="16.5" hidden="false" customHeight="true" outlineLevel="0" collapsed="false">
      <c r="A267" s="70"/>
      <c r="B267" s="71" t="str">
        <f aca="false">IF(A267&lt;&gt;"",TEXT(A267,"mmm"),"")</f>
        <v/>
      </c>
      <c r="C267" s="71" t="str">
        <f aca="false">IF(A267&lt;&gt;"",YEAR(A267),"")</f>
        <v/>
      </c>
      <c r="D267" s="72"/>
      <c r="E267" s="72"/>
      <c r="F267" s="73"/>
    </row>
    <row r="268" customFormat="false" ht="16.5" hidden="false" customHeight="true" outlineLevel="0" collapsed="false">
      <c r="A268" s="67"/>
      <c r="B268" s="68" t="str">
        <f aca="false">IF(A268&lt;&gt;"",TEXT(A268,"mmm"),"")</f>
        <v/>
      </c>
      <c r="C268" s="68" t="str">
        <f aca="false">IF(A268&lt;&gt;"",YEAR(A268),"")</f>
        <v/>
      </c>
      <c r="D268" s="69"/>
      <c r="E268" s="69"/>
      <c r="F268" s="14"/>
    </row>
    <row r="269" customFormat="false" ht="16.5" hidden="false" customHeight="true" outlineLevel="0" collapsed="false">
      <c r="A269" s="70"/>
      <c r="B269" s="71" t="str">
        <f aca="false">IF(A269&lt;&gt;"",TEXT(A269,"mmm"),"")</f>
        <v/>
      </c>
      <c r="C269" s="71" t="str">
        <f aca="false">IF(A269&lt;&gt;"",YEAR(A269),"")</f>
        <v/>
      </c>
      <c r="D269" s="72"/>
      <c r="E269" s="72"/>
      <c r="F269" s="73"/>
    </row>
    <row r="270" customFormat="false" ht="16.5" hidden="false" customHeight="true" outlineLevel="0" collapsed="false">
      <c r="A270" s="67"/>
      <c r="B270" s="68" t="str">
        <f aca="false">IF(A270&lt;&gt;"",TEXT(A270,"mmm"),"")</f>
        <v/>
      </c>
      <c r="C270" s="68" t="str">
        <f aca="false">IF(A270&lt;&gt;"",YEAR(A270),"")</f>
        <v/>
      </c>
      <c r="D270" s="69"/>
      <c r="E270" s="69"/>
      <c r="F270" s="14"/>
    </row>
    <row r="271" customFormat="false" ht="16.5" hidden="false" customHeight="true" outlineLevel="0" collapsed="false">
      <c r="A271" s="70"/>
      <c r="B271" s="71" t="str">
        <f aca="false">IF(A271&lt;&gt;"",TEXT(A271,"mmm"),"")</f>
        <v/>
      </c>
      <c r="C271" s="71" t="str">
        <f aca="false">IF(A271&lt;&gt;"",YEAR(A271),"")</f>
        <v/>
      </c>
      <c r="D271" s="72"/>
      <c r="E271" s="72"/>
      <c r="F271" s="73"/>
    </row>
    <row r="272" customFormat="false" ht="16.5" hidden="false" customHeight="true" outlineLevel="0" collapsed="false">
      <c r="A272" s="67"/>
      <c r="B272" s="68" t="str">
        <f aca="false">IF(A272&lt;&gt;"",TEXT(A272,"mmm"),"")</f>
        <v/>
      </c>
      <c r="C272" s="68" t="str">
        <f aca="false">IF(A272&lt;&gt;"",YEAR(A272),"")</f>
        <v/>
      </c>
      <c r="D272" s="69"/>
      <c r="E272" s="69"/>
      <c r="F272" s="14"/>
    </row>
    <row r="273" customFormat="false" ht="16.5" hidden="false" customHeight="true" outlineLevel="0" collapsed="false">
      <c r="A273" s="70"/>
      <c r="B273" s="71" t="str">
        <f aca="false">IF(A273&lt;&gt;"",TEXT(A273,"mmm"),"")</f>
        <v/>
      </c>
      <c r="C273" s="71" t="str">
        <f aca="false">IF(A273&lt;&gt;"",YEAR(A273),"")</f>
        <v/>
      </c>
      <c r="D273" s="72"/>
      <c r="E273" s="72"/>
      <c r="F273" s="73"/>
    </row>
    <row r="274" customFormat="false" ht="16.5" hidden="false" customHeight="true" outlineLevel="0" collapsed="false">
      <c r="A274" s="67"/>
      <c r="B274" s="68" t="str">
        <f aca="false">IF(A274&lt;&gt;"",TEXT(A274,"mmm"),"")</f>
        <v/>
      </c>
      <c r="C274" s="68" t="str">
        <f aca="false">IF(A274&lt;&gt;"",YEAR(A274),"")</f>
        <v/>
      </c>
      <c r="D274" s="69"/>
      <c r="E274" s="69"/>
      <c r="F274" s="14"/>
    </row>
    <row r="275" customFormat="false" ht="16.5" hidden="false" customHeight="true" outlineLevel="0" collapsed="false">
      <c r="A275" s="70"/>
      <c r="B275" s="71" t="str">
        <f aca="false">IF(A275&lt;&gt;"",TEXT(A275,"mmm"),"")</f>
        <v/>
      </c>
      <c r="C275" s="71" t="str">
        <f aca="false">IF(A275&lt;&gt;"",YEAR(A275),"")</f>
        <v/>
      </c>
      <c r="D275" s="72"/>
      <c r="E275" s="72"/>
      <c r="F275" s="73"/>
    </row>
    <row r="276" customFormat="false" ht="16.5" hidden="false" customHeight="true" outlineLevel="0" collapsed="false">
      <c r="A276" s="67"/>
      <c r="B276" s="68" t="str">
        <f aca="false">IF(A276&lt;&gt;"",TEXT(A276,"mmm"),"")</f>
        <v/>
      </c>
      <c r="C276" s="68" t="str">
        <f aca="false">IF(A276&lt;&gt;"",YEAR(A276),"")</f>
        <v/>
      </c>
      <c r="D276" s="69"/>
      <c r="E276" s="69"/>
      <c r="F276" s="14"/>
    </row>
    <row r="277" customFormat="false" ht="16.5" hidden="false" customHeight="true" outlineLevel="0" collapsed="false">
      <c r="A277" s="70"/>
      <c r="B277" s="71" t="str">
        <f aca="false">IF(A277&lt;&gt;"",TEXT(A277,"mmm"),"")</f>
        <v/>
      </c>
      <c r="C277" s="71" t="str">
        <f aca="false">IF(A277&lt;&gt;"",YEAR(A277),"")</f>
        <v/>
      </c>
      <c r="D277" s="72"/>
      <c r="E277" s="72"/>
      <c r="F277" s="73"/>
    </row>
    <row r="278" customFormat="false" ht="16.5" hidden="false" customHeight="true" outlineLevel="0" collapsed="false">
      <c r="A278" s="67"/>
      <c r="B278" s="68" t="str">
        <f aca="false">IF(A278&lt;&gt;"",TEXT(A278,"mmm"),"")</f>
        <v/>
      </c>
      <c r="C278" s="68" t="str">
        <f aca="false">IF(A278&lt;&gt;"",YEAR(A278),"")</f>
        <v/>
      </c>
      <c r="D278" s="69"/>
      <c r="E278" s="69"/>
      <c r="F278" s="14"/>
    </row>
    <row r="279" customFormat="false" ht="16.5" hidden="false" customHeight="true" outlineLevel="0" collapsed="false">
      <c r="A279" s="70"/>
      <c r="B279" s="71" t="str">
        <f aca="false">IF(A279&lt;&gt;"",TEXT(A279,"mmm"),"")</f>
        <v/>
      </c>
      <c r="C279" s="71" t="str">
        <f aca="false">IF(A279&lt;&gt;"",YEAR(A279),"")</f>
        <v/>
      </c>
      <c r="D279" s="72"/>
      <c r="E279" s="72"/>
      <c r="F279" s="73"/>
    </row>
    <row r="280" customFormat="false" ht="16.5" hidden="false" customHeight="true" outlineLevel="0" collapsed="false">
      <c r="A280" s="67"/>
      <c r="B280" s="68" t="str">
        <f aca="false">IF(A280&lt;&gt;"",TEXT(A280,"mmm"),"")</f>
        <v/>
      </c>
      <c r="C280" s="68" t="str">
        <f aca="false">IF(A280&lt;&gt;"",YEAR(A280),"")</f>
        <v/>
      </c>
      <c r="D280" s="69"/>
      <c r="E280" s="69"/>
      <c r="F280" s="14"/>
    </row>
    <row r="281" customFormat="false" ht="16.5" hidden="false" customHeight="true" outlineLevel="0" collapsed="false">
      <c r="A281" s="70"/>
      <c r="B281" s="71" t="str">
        <f aca="false">IF(A281&lt;&gt;"",TEXT(A281,"mmm"),"")</f>
        <v/>
      </c>
      <c r="C281" s="71" t="str">
        <f aca="false">IF(A281&lt;&gt;"",YEAR(A281),"")</f>
        <v/>
      </c>
      <c r="D281" s="72"/>
      <c r="E281" s="72"/>
      <c r="F281" s="73"/>
    </row>
    <row r="282" customFormat="false" ht="16.5" hidden="false" customHeight="true" outlineLevel="0" collapsed="false">
      <c r="A282" s="67"/>
      <c r="B282" s="68" t="str">
        <f aca="false">IF(A282&lt;&gt;"",TEXT(A282,"mmm"),"")</f>
        <v/>
      </c>
      <c r="C282" s="68" t="str">
        <f aca="false">IF(A282&lt;&gt;"",YEAR(A282),"")</f>
        <v/>
      </c>
      <c r="D282" s="69"/>
      <c r="E282" s="69"/>
      <c r="F282" s="14"/>
    </row>
    <row r="283" customFormat="false" ht="16.5" hidden="false" customHeight="true" outlineLevel="0" collapsed="false">
      <c r="A283" s="70"/>
      <c r="B283" s="71" t="str">
        <f aca="false">IF(A283&lt;&gt;"",TEXT(A283,"mmm"),"")</f>
        <v/>
      </c>
      <c r="C283" s="71" t="str">
        <f aca="false">IF(A283&lt;&gt;"",YEAR(A283),"")</f>
        <v/>
      </c>
      <c r="D283" s="72"/>
      <c r="E283" s="72"/>
      <c r="F283" s="73"/>
    </row>
    <row r="284" customFormat="false" ht="16.5" hidden="false" customHeight="true" outlineLevel="0" collapsed="false">
      <c r="A284" s="67"/>
      <c r="B284" s="68" t="str">
        <f aca="false">IF(A284&lt;&gt;"",TEXT(A284,"mmm"),"")</f>
        <v/>
      </c>
      <c r="C284" s="68" t="str">
        <f aca="false">IF(A284&lt;&gt;"",YEAR(A284),"")</f>
        <v/>
      </c>
      <c r="D284" s="69"/>
      <c r="E284" s="69"/>
      <c r="F284" s="14"/>
    </row>
    <row r="285" customFormat="false" ht="16.5" hidden="false" customHeight="true" outlineLevel="0" collapsed="false">
      <c r="A285" s="70"/>
      <c r="B285" s="71" t="str">
        <f aca="false">IF(A285&lt;&gt;"",TEXT(A285,"mmm"),"")</f>
        <v/>
      </c>
      <c r="C285" s="71" t="str">
        <f aca="false">IF(A285&lt;&gt;"",YEAR(A285),"")</f>
        <v/>
      </c>
      <c r="D285" s="72"/>
      <c r="E285" s="72"/>
      <c r="F285" s="73"/>
    </row>
    <row r="286" customFormat="false" ht="16.5" hidden="false" customHeight="true" outlineLevel="0" collapsed="false">
      <c r="A286" s="67"/>
      <c r="B286" s="68" t="str">
        <f aca="false">IF(A286&lt;&gt;"",TEXT(A286,"mmm"),"")</f>
        <v/>
      </c>
      <c r="C286" s="68" t="str">
        <f aca="false">IF(A286&lt;&gt;"",YEAR(A286),"")</f>
        <v/>
      </c>
      <c r="D286" s="69"/>
      <c r="E286" s="69"/>
      <c r="F286" s="14"/>
    </row>
    <row r="287" customFormat="false" ht="16.5" hidden="false" customHeight="true" outlineLevel="0" collapsed="false">
      <c r="A287" s="70"/>
      <c r="B287" s="71" t="str">
        <f aca="false">IF(A287&lt;&gt;"",TEXT(A287,"mmm"),"")</f>
        <v/>
      </c>
      <c r="C287" s="71" t="str">
        <f aca="false">IF(A287&lt;&gt;"",YEAR(A287),"")</f>
        <v/>
      </c>
      <c r="D287" s="72"/>
      <c r="E287" s="72"/>
      <c r="F287" s="73"/>
    </row>
    <row r="288" customFormat="false" ht="16.5" hidden="false" customHeight="true" outlineLevel="0" collapsed="false">
      <c r="A288" s="67"/>
      <c r="B288" s="68" t="str">
        <f aca="false">IF(A288&lt;&gt;"",TEXT(A288,"mmm"),"")</f>
        <v/>
      </c>
      <c r="C288" s="68" t="str">
        <f aca="false">IF(A288&lt;&gt;"",YEAR(A288),"")</f>
        <v/>
      </c>
      <c r="D288" s="69"/>
      <c r="E288" s="69"/>
      <c r="F288" s="14"/>
    </row>
    <row r="289" customFormat="false" ht="16.5" hidden="false" customHeight="true" outlineLevel="0" collapsed="false">
      <c r="A289" s="70"/>
      <c r="B289" s="71" t="str">
        <f aca="false">IF(A289&lt;&gt;"",TEXT(A289,"mmm"),"")</f>
        <v/>
      </c>
      <c r="C289" s="71" t="str">
        <f aca="false">IF(A289&lt;&gt;"",YEAR(A289),"")</f>
        <v/>
      </c>
      <c r="D289" s="72"/>
      <c r="E289" s="72"/>
      <c r="F289" s="73"/>
    </row>
    <row r="290" customFormat="false" ht="16.5" hidden="false" customHeight="true" outlineLevel="0" collapsed="false">
      <c r="A290" s="67"/>
      <c r="B290" s="68" t="str">
        <f aca="false">IF(A290&lt;&gt;"",TEXT(A290,"mmm"),"")</f>
        <v/>
      </c>
      <c r="C290" s="68" t="str">
        <f aca="false">IF(A290&lt;&gt;"",YEAR(A290),"")</f>
        <v/>
      </c>
      <c r="D290" s="69"/>
      <c r="E290" s="69"/>
      <c r="F290" s="14"/>
    </row>
    <row r="291" customFormat="false" ht="16.5" hidden="false" customHeight="true" outlineLevel="0" collapsed="false">
      <c r="A291" s="70"/>
      <c r="B291" s="71" t="str">
        <f aca="false">IF(A291&lt;&gt;"",TEXT(A291,"mmm"),"")</f>
        <v/>
      </c>
      <c r="C291" s="71" t="str">
        <f aca="false">IF(A291&lt;&gt;"",YEAR(A291),"")</f>
        <v/>
      </c>
      <c r="D291" s="72"/>
      <c r="E291" s="72"/>
      <c r="F291" s="73"/>
    </row>
    <row r="292" customFormat="false" ht="16.5" hidden="false" customHeight="true" outlineLevel="0" collapsed="false">
      <c r="A292" s="67"/>
      <c r="B292" s="68" t="str">
        <f aca="false">IF(A292&lt;&gt;"",TEXT(A292,"mmm"),"")</f>
        <v/>
      </c>
      <c r="C292" s="68" t="str">
        <f aca="false">IF(A292&lt;&gt;"",YEAR(A292),"")</f>
        <v/>
      </c>
      <c r="D292" s="69"/>
      <c r="E292" s="69"/>
      <c r="F292" s="14"/>
    </row>
    <row r="293" customFormat="false" ht="16.5" hidden="false" customHeight="true" outlineLevel="0" collapsed="false">
      <c r="A293" s="70"/>
      <c r="B293" s="71" t="str">
        <f aca="false">IF(A293&lt;&gt;"",TEXT(A293,"mmm"),"")</f>
        <v/>
      </c>
      <c r="C293" s="71" t="str">
        <f aca="false">IF(A293&lt;&gt;"",YEAR(A293),"")</f>
        <v/>
      </c>
      <c r="D293" s="72"/>
      <c r="E293" s="72"/>
      <c r="F293" s="73"/>
    </row>
    <row r="294" customFormat="false" ht="16.5" hidden="false" customHeight="true" outlineLevel="0" collapsed="false">
      <c r="A294" s="67"/>
      <c r="B294" s="68" t="str">
        <f aca="false">IF(A294&lt;&gt;"",TEXT(A294,"mmm"),"")</f>
        <v/>
      </c>
      <c r="C294" s="68" t="str">
        <f aca="false">IF(A294&lt;&gt;"",YEAR(A294),"")</f>
        <v/>
      </c>
      <c r="D294" s="69"/>
      <c r="E294" s="69"/>
      <c r="F294" s="14"/>
    </row>
    <row r="295" customFormat="false" ht="16.5" hidden="false" customHeight="true" outlineLevel="0" collapsed="false">
      <c r="A295" s="70"/>
      <c r="B295" s="71" t="str">
        <f aca="false">IF(A295&lt;&gt;"",TEXT(A295,"mmm"),"")</f>
        <v/>
      </c>
      <c r="C295" s="71" t="str">
        <f aca="false">IF(A295&lt;&gt;"",YEAR(A295),"")</f>
        <v/>
      </c>
      <c r="D295" s="72"/>
      <c r="E295" s="72"/>
      <c r="F295" s="73"/>
    </row>
    <row r="296" customFormat="false" ht="16.5" hidden="false" customHeight="true" outlineLevel="0" collapsed="false">
      <c r="A296" s="67"/>
      <c r="B296" s="68" t="str">
        <f aca="false">IF(A296&lt;&gt;"",TEXT(A296,"mmm"),"")</f>
        <v/>
      </c>
      <c r="C296" s="68" t="str">
        <f aca="false">IF(A296&lt;&gt;"",YEAR(A296),"")</f>
        <v/>
      </c>
      <c r="D296" s="69"/>
      <c r="E296" s="69"/>
      <c r="F296" s="14"/>
    </row>
    <row r="297" customFormat="false" ht="16.5" hidden="false" customHeight="true" outlineLevel="0" collapsed="false">
      <c r="A297" s="70"/>
      <c r="B297" s="71" t="str">
        <f aca="false">IF(A297&lt;&gt;"",TEXT(A297,"mmm"),"")</f>
        <v/>
      </c>
      <c r="C297" s="71" t="str">
        <f aca="false">IF(A297&lt;&gt;"",YEAR(A297),"")</f>
        <v/>
      </c>
      <c r="D297" s="72"/>
      <c r="E297" s="72"/>
      <c r="F297" s="73"/>
    </row>
    <row r="298" customFormat="false" ht="16.5" hidden="false" customHeight="true" outlineLevel="0" collapsed="false">
      <c r="A298" s="67"/>
      <c r="B298" s="68" t="str">
        <f aca="false">IF(A298&lt;&gt;"",TEXT(A298,"mmm"),"")</f>
        <v/>
      </c>
      <c r="C298" s="68" t="str">
        <f aca="false">IF(A298&lt;&gt;"",YEAR(A298),"")</f>
        <v/>
      </c>
      <c r="D298" s="69"/>
      <c r="E298" s="69"/>
      <c r="F298" s="14"/>
    </row>
    <row r="299" customFormat="false" ht="16.5" hidden="false" customHeight="true" outlineLevel="0" collapsed="false">
      <c r="A299" s="70"/>
      <c r="B299" s="71" t="str">
        <f aca="false">IF(A299&lt;&gt;"",TEXT(A299,"mmm"),"")</f>
        <v/>
      </c>
      <c r="C299" s="71" t="str">
        <f aca="false">IF(A299&lt;&gt;"",YEAR(A299),"")</f>
        <v/>
      </c>
      <c r="D299" s="72"/>
      <c r="E299" s="72"/>
      <c r="F299" s="73"/>
    </row>
    <row r="300" customFormat="false" ht="16.5" hidden="false" customHeight="true" outlineLevel="0" collapsed="false">
      <c r="A300" s="67"/>
      <c r="B300" s="68" t="str">
        <f aca="false">IF(A300&lt;&gt;"",TEXT(A300,"mmm"),"")</f>
        <v/>
      </c>
      <c r="C300" s="68" t="str">
        <f aca="false">IF(A300&lt;&gt;"",YEAR(A300),"")</f>
        <v/>
      </c>
      <c r="D300" s="69"/>
      <c r="E300" s="69"/>
      <c r="F300" s="14"/>
    </row>
    <row r="301" customFormat="false" ht="16.5" hidden="false" customHeight="true" outlineLevel="0" collapsed="false">
      <c r="A301" s="70"/>
      <c r="B301" s="71" t="str">
        <f aca="false">IF(A301&lt;&gt;"",TEXT(A301,"mmm"),"")</f>
        <v/>
      </c>
      <c r="C301" s="71" t="str">
        <f aca="false">IF(A301&lt;&gt;"",YEAR(A301),"")</f>
        <v/>
      </c>
      <c r="D301" s="72"/>
      <c r="E301" s="72"/>
      <c r="F301" s="73"/>
    </row>
    <row r="302" customFormat="false" ht="16.5" hidden="false" customHeight="true" outlineLevel="0" collapsed="false">
      <c r="A302" s="67"/>
      <c r="B302" s="68" t="str">
        <f aca="false">IF(A302&lt;&gt;"",TEXT(A302,"mmm"),"")</f>
        <v/>
      </c>
      <c r="C302" s="68" t="str">
        <f aca="false">IF(A302&lt;&gt;"",YEAR(A302),"")</f>
        <v/>
      </c>
      <c r="D302" s="69"/>
      <c r="E302" s="69"/>
      <c r="F302" s="14"/>
    </row>
    <row r="303" customFormat="false" ht="16.5" hidden="false" customHeight="true" outlineLevel="0" collapsed="false">
      <c r="A303" s="70"/>
      <c r="B303" s="71" t="str">
        <f aca="false">IF(A303&lt;&gt;"",TEXT(A303,"mmm"),"")</f>
        <v/>
      </c>
      <c r="C303" s="71" t="str">
        <f aca="false">IF(A303&lt;&gt;"",YEAR(A303),"")</f>
        <v/>
      </c>
      <c r="D303" s="72"/>
      <c r="E303" s="72"/>
      <c r="F303" s="73"/>
    </row>
    <row r="304" customFormat="false" ht="16.5" hidden="false" customHeight="true" outlineLevel="0" collapsed="false">
      <c r="A304" s="67"/>
      <c r="B304" s="68" t="str">
        <f aca="false">IF(A304&lt;&gt;"",TEXT(A304,"mmm"),"")</f>
        <v/>
      </c>
      <c r="C304" s="68" t="str">
        <f aca="false">IF(A304&lt;&gt;"",YEAR(A304),"")</f>
        <v/>
      </c>
      <c r="D304" s="69"/>
      <c r="E304" s="69"/>
      <c r="F304" s="14"/>
    </row>
    <row r="305" customFormat="false" ht="16.5" hidden="false" customHeight="true" outlineLevel="0" collapsed="false">
      <c r="A305" s="70"/>
      <c r="B305" s="71" t="str">
        <f aca="false">IF(A305&lt;&gt;"",TEXT(A305,"mmm"),"")</f>
        <v/>
      </c>
      <c r="C305" s="71" t="str">
        <f aca="false">IF(A305&lt;&gt;"",YEAR(A305),"")</f>
        <v/>
      </c>
      <c r="D305" s="72"/>
      <c r="E305" s="72"/>
      <c r="F305" s="73"/>
    </row>
    <row r="306" customFormat="false" ht="16.5" hidden="false" customHeight="true" outlineLevel="0" collapsed="false">
      <c r="A306" s="67"/>
      <c r="B306" s="68" t="str">
        <f aca="false">IF(A306&lt;&gt;"",TEXT(A306,"mmm"),"")</f>
        <v/>
      </c>
      <c r="C306" s="68" t="str">
        <f aca="false">IF(A306&lt;&gt;"",YEAR(A306),"")</f>
        <v/>
      </c>
      <c r="D306" s="69"/>
      <c r="E306" s="69"/>
      <c r="F306" s="14"/>
    </row>
    <row r="307" customFormat="false" ht="16.5" hidden="false" customHeight="true" outlineLevel="0" collapsed="false">
      <c r="A307" s="70"/>
      <c r="B307" s="71" t="str">
        <f aca="false">IF(A307&lt;&gt;"",TEXT(A307,"mmm"),"")</f>
        <v/>
      </c>
      <c r="C307" s="71" t="str">
        <f aca="false">IF(A307&lt;&gt;"",YEAR(A307),"")</f>
        <v/>
      </c>
      <c r="D307" s="72"/>
      <c r="E307" s="72"/>
      <c r="F307" s="73"/>
    </row>
    <row r="308" customFormat="false" ht="16.5" hidden="false" customHeight="true" outlineLevel="0" collapsed="false">
      <c r="A308" s="67"/>
      <c r="B308" s="68" t="str">
        <f aca="false">IF(A308&lt;&gt;"",TEXT(A308,"mmm"),"")</f>
        <v/>
      </c>
      <c r="C308" s="68" t="str">
        <f aca="false">IF(A308&lt;&gt;"",YEAR(A308),"")</f>
        <v/>
      </c>
      <c r="D308" s="69"/>
      <c r="E308" s="69"/>
      <c r="F308" s="14"/>
    </row>
    <row r="309" customFormat="false" ht="16.5" hidden="false" customHeight="true" outlineLevel="0" collapsed="false">
      <c r="A309" s="70"/>
      <c r="B309" s="71" t="str">
        <f aca="false">IF(A309&lt;&gt;"",TEXT(A309,"mmm"),"")</f>
        <v/>
      </c>
      <c r="C309" s="71" t="str">
        <f aca="false">IF(A309&lt;&gt;"",YEAR(A309),"")</f>
        <v/>
      </c>
      <c r="D309" s="72"/>
      <c r="E309" s="72"/>
      <c r="F309" s="73"/>
    </row>
    <row r="310" customFormat="false" ht="16.5" hidden="false" customHeight="true" outlineLevel="0" collapsed="false">
      <c r="A310" s="67"/>
      <c r="B310" s="68" t="str">
        <f aca="false">IF(A310&lt;&gt;"",TEXT(A310,"mmm"),"")</f>
        <v/>
      </c>
      <c r="C310" s="68" t="str">
        <f aca="false">IF(A310&lt;&gt;"",YEAR(A310),"")</f>
        <v/>
      </c>
      <c r="D310" s="69"/>
      <c r="E310" s="69"/>
      <c r="F310" s="14"/>
    </row>
    <row r="311" customFormat="false" ht="16.5" hidden="false" customHeight="true" outlineLevel="0" collapsed="false">
      <c r="A311" s="70"/>
      <c r="B311" s="71" t="str">
        <f aca="false">IF(A311&lt;&gt;"",TEXT(A311,"mmm"),"")</f>
        <v/>
      </c>
      <c r="C311" s="71" t="str">
        <f aca="false">IF(A311&lt;&gt;"",YEAR(A311),"")</f>
        <v/>
      </c>
      <c r="D311" s="72"/>
      <c r="E311" s="72"/>
      <c r="F311" s="73"/>
    </row>
    <row r="312" customFormat="false" ht="16.5" hidden="false" customHeight="true" outlineLevel="0" collapsed="false">
      <c r="A312" s="67"/>
      <c r="B312" s="68" t="str">
        <f aca="false">IF(A312&lt;&gt;"",TEXT(A312,"mmm"),"")</f>
        <v/>
      </c>
      <c r="C312" s="68" t="str">
        <f aca="false">IF(A312&lt;&gt;"",YEAR(A312),"")</f>
        <v/>
      </c>
      <c r="D312" s="69"/>
      <c r="E312" s="69"/>
      <c r="F312" s="14"/>
    </row>
    <row r="313" customFormat="false" ht="16.5" hidden="false" customHeight="true" outlineLevel="0" collapsed="false">
      <c r="A313" s="70"/>
      <c r="B313" s="71" t="str">
        <f aca="false">IF(A313&lt;&gt;"",TEXT(A313,"mmm"),"")</f>
        <v/>
      </c>
      <c r="C313" s="71" t="str">
        <f aca="false">IF(A313&lt;&gt;"",YEAR(A313),"")</f>
        <v/>
      </c>
      <c r="D313" s="72"/>
      <c r="E313" s="72"/>
      <c r="F313" s="73"/>
    </row>
    <row r="314" customFormat="false" ht="16.5" hidden="false" customHeight="true" outlineLevel="0" collapsed="false">
      <c r="A314" s="67"/>
      <c r="B314" s="68" t="str">
        <f aca="false">IF(A314&lt;&gt;"",TEXT(A314,"mmm"),"")</f>
        <v/>
      </c>
      <c r="C314" s="68" t="str">
        <f aca="false">IF(A314&lt;&gt;"",YEAR(A314),"")</f>
        <v/>
      </c>
      <c r="D314" s="69"/>
      <c r="E314" s="69"/>
      <c r="F314" s="14"/>
    </row>
    <row r="315" customFormat="false" ht="16.5" hidden="false" customHeight="true" outlineLevel="0" collapsed="false">
      <c r="A315" s="70"/>
      <c r="B315" s="71" t="str">
        <f aca="false">IF(A315&lt;&gt;"",TEXT(A315,"mmm"),"")</f>
        <v/>
      </c>
      <c r="C315" s="71" t="str">
        <f aca="false">IF(A315&lt;&gt;"",YEAR(A315),"")</f>
        <v/>
      </c>
      <c r="D315" s="72"/>
      <c r="E315" s="72"/>
      <c r="F315" s="73"/>
    </row>
    <row r="316" customFormat="false" ht="16.5" hidden="false" customHeight="true" outlineLevel="0" collapsed="false">
      <c r="A316" s="67"/>
      <c r="B316" s="68" t="str">
        <f aca="false">IF(A316&lt;&gt;"",TEXT(A316,"mmm"),"")</f>
        <v/>
      </c>
      <c r="C316" s="68" t="str">
        <f aca="false">IF(A316&lt;&gt;"",YEAR(A316),"")</f>
        <v/>
      </c>
      <c r="D316" s="69"/>
      <c r="E316" s="69"/>
      <c r="F316" s="14"/>
    </row>
    <row r="317" customFormat="false" ht="16.5" hidden="false" customHeight="true" outlineLevel="0" collapsed="false">
      <c r="A317" s="70"/>
      <c r="B317" s="71" t="str">
        <f aca="false">IF(A317&lt;&gt;"",TEXT(A317,"mmm"),"")</f>
        <v/>
      </c>
      <c r="C317" s="71" t="str">
        <f aca="false">IF(A317&lt;&gt;"",YEAR(A317),"")</f>
        <v/>
      </c>
      <c r="D317" s="72"/>
      <c r="E317" s="72"/>
      <c r="F317" s="73"/>
    </row>
    <row r="318" customFormat="false" ht="16.5" hidden="false" customHeight="true" outlineLevel="0" collapsed="false">
      <c r="A318" s="67"/>
      <c r="B318" s="68" t="str">
        <f aca="false">IF(A318&lt;&gt;"",TEXT(A318,"mmm"),"")</f>
        <v/>
      </c>
      <c r="C318" s="68" t="str">
        <f aca="false">IF(A318&lt;&gt;"",YEAR(A318),"")</f>
        <v/>
      </c>
      <c r="D318" s="69"/>
      <c r="E318" s="69"/>
      <c r="F318" s="14"/>
    </row>
    <row r="319" customFormat="false" ht="16.5" hidden="false" customHeight="true" outlineLevel="0" collapsed="false">
      <c r="A319" s="70"/>
      <c r="B319" s="71" t="str">
        <f aca="false">IF(A319&lt;&gt;"",TEXT(A319,"mmm"),"")</f>
        <v/>
      </c>
      <c r="C319" s="71" t="str">
        <f aca="false">IF(A319&lt;&gt;"",YEAR(A319),"")</f>
        <v/>
      </c>
      <c r="D319" s="72"/>
      <c r="E319" s="72"/>
      <c r="F319" s="73"/>
    </row>
    <row r="320" customFormat="false" ht="16.5" hidden="false" customHeight="true" outlineLevel="0" collapsed="false">
      <c r="A320" s="67"/>
      <c r="B320" s="68" t="str">
        <f aca="false">IF(A320&lt;&gt;"",TEXT(A320,"mmm"),"")</f>
        <v/>
      </c>
      <c r="C320" s="68" t="str">
        <f aca="false">IF(A320&lt;&gt;"",YEAR(A320),"")</f>
        <v/>
      </c>
      <c r="D320" s="69"/>
      <c r="E320" s="69"/>
      <c r="F320" s="14"/>
    </row>
    <row r="321" customFormat="false" ht="16.5" hidden="false" customHeight="true" outlineLevel="0" collapsed="false">
      <c r="A321" s="70"/>
      <c r="B321" s="71" t="str">
        <f aca="false">IF(A321&lt;&gt;"",TEXT(A321,"mmm"),"")</f>
        <v/>
      </c>
      <c r="C321" s="71" t="str">
        <f aca="false">IF(A321&lt;&gt;"",YEAR(A321),"")</f>
        <v/>
      </c>
      <c r="D321" s="72"/>
      <c r="E321" s="72"/>
      <c r="F321" s="73"/>
    </row>
    <row r="322" customFormat="false" ht="16.5" hidden="false" customHeight="true" outlineLevel="0" collapsed="false">
      <c r="A322" s="67"/>
      <c r="B322" s="68" t="str">
        <f aca="false">IF(A322&lt;&gt;"",TEXT(A322,"mmm"),"")</f>
        <v/>
      </c>
      <c r="C322" s="68" t="str">
        <f aca="false">IF(A322&lt;&gt;"",YEAR(A322),"")</f>
        <v/>
      </c>
      <c r="D322" s="69"/>
      <c r="E322" s="69"/>
      <c r="F322" s="14"/>
    </row>
    <row r="323" customFormat="false" ht="16.5" hidden="false" customHeight="true" outlineLevel="0" collapsed="false">
      <c r="A323" s="70"/>
      <c r="B323" s="71" t="str">
        <f aca="false">IF(A323&lt;&gt;"",TEXT(A323,"mmm"),"")</f>
        <v/>
      </c>
      <c r="C323" s="71" t="str">
        <f aca="false">IF(A323&lt;&gt;"",YEAR(A323),"")</f>
        <v/>
      </c>
      <c r="D323" s="72"/>
      <c r="E323" s="72"/>
      <c r="F323" s="73"/>
    </row>
    <row r="324" customFormat="false" ht="16.5" hidden="false" customHeight="true" outlineLevel="0" collapsed="false">
      <c r="A324" s="67"/>
      <c r="B324" s="68" t="str">
        <f aca="false">IF(A324&lt;&gt;"",TEXT(A324,"mmm"),"")</f>
        <v/>
      </c>
      <c r="C324" s="68" t="str">
        <f aca="false">IF(A324&lt;&gt;"",YEAR(A324),"")</f>
        <v/>
      </c>
      <c r="D324" s="69"/>
      <c r="E324" s="69"/>
      <c r="F324" s="14"/>
    </row>
    <row r="325" customFormat="false" ht="16.5" hidden="false" customHeight="true" outlineLevel="0" collapsed="false">
      <c r="A325" s="70"/>
      <c r="B325" s="71" t="str">
        <f aca="false">IF(A325&lt;&gt;"",TEXT(A325,"mmm"),"")</f>
        <v/>
      </c>
      <c r="C325" s="71" t="str">
        <f aca="false">IF(A325&lt;&gt;"",YEAR(A325),"")</f>
        <v/>
      </c>
      <c r="D325" s="72"/>
      <c r="E325" s="72"/>
      <c r="F325" s="73"/>
    </row>
    <row r="326" customFormat="false" ht="16.5" hidden="false" customHeight="true" outlineLevel="0" collapsed="false">
      <c r="A326" s="67"/>
      <c r="B326" s="68" t="str">
        <f aca="false">IF(A326&lt;&gt;"",TEXT(A326,"mmm"),"")</f>
        <v/>
      </c>
      <c r="C326" s="68" t="str">
        <f aca="false">IF(A326&lt;&gt;"",YEAR(A326),"")</f>
        <v/>
      </c>
      <c r="D326" s="69"/>
      <c r="E326" s="69"/>
      <c r="F326" s="14"/>
    </row>
    <row r="327" customFormat="false" ht="16.5" hidden="false" customHeight="true" outlineLevel="0" collapsed="false">
      <c r="A327" s="70"/>
      <c r="B327" s="71" t="str">
        <f aca="false">IF(A327&lt;&gt;"",TEXT(A327,"mmm"),"")</f>
        <v/>
      </c>
      <c r="C327" s="71" t="str">
        <f aca="false">IF(A327&lt;&gt;"",YEAR(A327),"")</f>
        <v/>
      </c>
      <c r="D327" s="72"/>
      <c r="E327" s="72"/>
      <c r="F327" s="73"/>
    </row>
    <row r="328" customFormat="false" ht="16.5" hidden="false" customHeight="true" outlineLevel="0" collapsed="false">
      <c r="A328" s="67"/>
      <c r="B328" s="68" t="str">
        <f aca="false">IF(A328&lt;&gt;"",TEXT(A328,"mmm"),"")</f>
        <v/>
      </c>
      <c r="C328" s="68" t="str">
        <f aca="false">IF(A328&lt;&gt;"",YEAR(A328),"")</f>
        <v/>
      </c>
      <c r="D328" s="69"/>
      <c r="E328" s="69"/>
      <c r="F328" s="14"/>
    </row>
    <row r="329" customFormat="false" ht="16.5" hidden="false" customHeight="true" outlineLevel="0" collapsed="false">
      <c r="A329" s="70"/>
      <c r="B329" s="71" t="str">
        <f aca="false">IF(A329&lt;&gt;"",TEXT(A329,"mmm"),"")</f>
        <v/>
      </c>
      <c r="C329" s="71" t="str">
        <f aca="false">IF(A329&lt;&gt;"",YEAR(A329),"")</f>
        <v/>
      </c>
      <c r="D329" s="72"/>
      <c r="E329" s="72"/>
      <c r="F329" s="73"/>
    </row>
    <row r="330" customFormat="false" ht="16.5" hidden="false" customHeight="true" outlineLevel="0" collapsed="false">
      <c r="A330" s="67"/>
      <c r="B330" s="68" t="str">
        <f aca="false">IF(A330&lt;&gt;"",TEXT(A330,"mmm"),"")</f>
        <v/>
      </c>
      <c r="C330" s="68" t="str">
        <f aca="false">IF(A330&lt;&gt;"",YEAR(A330),"")</f>
        <v/>
      </c>
      <c r="D330" s="69"/>
      <c r="E330" s="69"/>
      <c r="F330" s="14"/>
    </row>
    <row r="331" customFormat="false" ht="16.5" hidden="false" customHeight="true" outlineLevel="0" collapsed="false">
      <c r="A331" s="70"/>
      <c r="B331" s="71" t="str">
        <f aca="false">IF(A331&lt;&gt;"",TEXT(A331,"mmm"),"")</f>
        <v/>
      </c>
      <c r="C331" s="71" t="str">
        <f aca="false">IF(A331&lt;&gt;"",YEAR(A331),"")</f>
        <v/>
      </c>
      <c r="D331" s="72"/>
      <c r="E331" s="72"/>
      <c r="F331" s="73"/>
    </row>
    <row r="332" customFormat="false" ht="16.5" hidden="false" customHeight="true" outlineLevel="0" collapsed="false">
      <c r="A332" s="67"/>
      <c r="B332" s="68" t="str">
        <f aca="false">IF(A332&lt;&gt;"",TEXT(A332,"mmm"),"")</f>
        <v/>
      </c>
      <c r="C332" s="68" t="str">
        <f aca="false">IF(A332&lt;&gt;"",YEAR(A332),"")</f>
        <v/>
      </c>
      <c r="D332" s="69"/>
      <c r="E332" s="69"/>
      <c r="F332" s="14"/>
    </row>
    <row r="333" customFormat="false" ht="16.5" hidden="false" customHeight="true" outlineLevel="0" collapsed="false">
      <c r="A333" s="70"/>
      <c r="B333" s="71" t="str">
        <f aca="false">IF(A333&lt;&gt;"",TEXT(A333,"mmm"),"")</f>
        <v/>
      </c>
      <c r="C333" s="71" t="str">
        <f aca="false">IF(A333&lt;&gt;"",YEAR(A333),"")</f>
        <v/>
      </c>
      <c r="D333" s="72"/>
      <c r="E333" s="72"/>
      <c r="F333" s="73"/>
    </row>
    <row r="334" customFormat="false" ht="16.5" hidden="false" customHeight="true" outlineLevel="0" collapsed="false">
      <c r="A334" s="67"/>
      <c r="B334" s="68" t="str">
        <f aca="false">IF(A334&lt;&gt;"",TEXT(A334,"mmm"),"")</f>
        <v/>
      </c>
      <c r="C334" s="68" t="str">
        <f aca="false">IF(A334&lt;&gt;"",YEAR(A334),"")</f>
        <v/>
      </c>
      <c r="D334" s="69"/>
      <c r="E334" s="69"/>
      <c r="F334" s="14"/>
    </row>
    <row r="335" customFormat="false" ht="16.5" hidden="false" customHeight="true" outlineLevel="0" collapsed="false">
      <c r="A335" s="70"/>
      <c r="B335" s="71" t="str">
        <f aca="false">IF(A335&lt;&gt;"",TEXT(A335,"mmm"),"")</f>
        <v/>
      </c>
      <c r="C335" s="71" t="str">
        <f aca="false">IF(A335&lt;&gt;"",YEAR(A335),"")</f>
        <v/>
      </c>
      <c r="D335" s="72"/>
      <c r="E335" s="72"/>
      <c r="F335" s="73"/>
    </row>
    <row r="336" customFormat="false" ht="16.5" hidden="false" customHeight="true" outlineLevel="0" collapsed="false">
      <c r="A336" s="67"/>
      <c r="B336" s="68" t="str">
        <f aca="false">IF(A336&lt;&gt;"",TEXT(A336,"mmm"),"")</f>
        <v/>
      </c>
      <c r="C336" s="68" t="str">
        <f aca="false">IF(A336&lt;&gt;"",YEAR(A336),"")</f>
        <v/>
      </c>
      <c r="D336" s="69"/>
      <c r="E336" s="69"/>
      <c r="F336" s="14"/>
    </row>
    <row r="337" customFormat="false" ht="16.5" hidden="false" customHeight="true" outlineLevel="0" collapsed="false">
      <c r="A337" s="70"/>
      <c r="B337" s="71" t="str">
        <f aca="false">IF(A337&lt;&gt;"",TEXT(A337,"mmm"),"")</f>
        <v/>
      </c>
      <c r="C337" s="71" t="str">
        <f aca="false">IF(A337&lt;&gt;"",YEAR(A337),"")</f>
        <v/>
      </c>
      <c r="D337" s="72"/>
      <c r="E337" s="72"/>
      <c r="F337" s="73"/>
    </row>
    <row r="338" customFormat="false" ht="16.5" hidden="false" customHeight="true" outlineLevel="0" collapsed="false">
      <c r="A338" s="67"/>
      <c r="B338" s="68" t="str">
        <f aca="false">IF(A338&lt;&gt;"",TEXT(A338,"mmm"),"")</f>
        <v/>
      </c>
      <c r="C338" s="68" t="str">
        <f aca="false">IF(A338&lt;&gt;"",YEAR(A338),"")</f>
        <v/>
      </c>
      <c r="D338" s="69"/>
      <c r="E338" s="69"/>
      <c r="F338" s="14"/>
    </row>
    <row r="339" customFormat="false" ht="16.5" hidden="false" customHeight="true" outlineLevel="0" collapsed="false">
      <c r="A339" s="70"/>
      <c r="B339" s="71" t="str">
        <f aca="false">IF(A339&lt;&gt;"",TEXT(A339,"mmm"),"")</f>
        <v/>
      </c>
      <c r="C339" s="71" t="str">
        <f aca="false">IF(A339&lt;&gt;"",YEAR(A339),"")</f>
        <v/>
      </c>
      <c r="D339" s="72"/>
      <c r="E339" s="72"/>
      <c r="F339" s="73"/>
    </row>
    <row r="340" customFormat="false" ht="16.5" hidden="false" customHeight="true" outlineLevel="0" collapsed="false">
      <c r="A340" s="67"/>
      <c r="B340" s="68" t="str">
        <f aca="false">IF(A340&lt;&gt;"",TEXT(A340,"mmm"),"")</f>
        <v/>
      </c>
      <c r="C340" s="68" t="str">
        <f aca="false">IF(A340&lt;&gt;"",YEAR(A340),"")</f>
        <v/>
      </c>
      <c r="D340" s="69"/>
      <c r="E340" s="69"/>
      <c r="F340" s="14"/>
    </row>
    <row r="341" customFormat="false" ht="16.5" hidden="false" customHeight="true" outlineLevel="0" collapsed="false">
      <c r="A341" s="70"/>
      <c r="B341" s="71" t="str">
        <f aca="false">IF(A341&lt;&gt;"",TEXT(A341,"mmm"),"")</f>
        <v/>
      </c>
      <c r="C341" s="71" t="str">
        <f aca="false">IF(A341&lt;&gt;"",YEAR(A341),"")</f>
        <v/>
      </c>
      <c r="D341" s="72"/>
      <c r="E341" s="72"/>
      <c r="F341" s="73"/>
    </row>
    <row r="342" customFormat="false" ht="16.5" hidden="false" customHeight="true" outlineLevel="0" collapsed="false">
      <c r="A342" s="67"/>
      <c r="B342" s="68" t="str">
        <f aca="false">IF(A342&lt;&gt;"",TEXT(A342,"mmm"),"")</f>
        <v/>
      </c>
      <c r="C342" s="68" t="str">
        <f aca="false">IF(A342&lt;&gt;"",YEAR(A342),"")</f>
        <v/>
      </c>
      <c r="D342" s="69"/>
      <c r="E342" s="69"/>
      <c r="F342" s="14"/>
    </row>
    <row r="343" customFormat="false" ht="16.5" hidden="false" customHeight="true" outlineLevel="0" collapsed="false">
      <c r="A343" s="70"/>
      <c r="B343" s="71" t="str">
        <f aca="false">IF(A343&lt;&gt;"",TEXT(A343,"mmm"),"")</f>
        <v/>
      </c>
      <c r="C343" s="71" t="str">
        <f aca="false">IF(A343&lt;&gt;"",YEAR(A343),"")</f>
        <v/>
      </c>
      <c r="D343" s="72"/>
      <c r="E343" s="72"/>
      <c r="F343" s="73"/>
    </row>
    <row r="344" customFormat="false" ht="16.5" hidden="false" customHeight="true" outlineLevel="0" collapsed="false">
      <c r="A344" s="67"/>
      <c r="B344" s="68" t="str">
        <f aca="false">IF(A344&lt;&gt;"",TEXT(A344,"mmm"),"")</f>
        <v/>
      </c>
      <c r="C344" s="68" t="str">
        <f aca="false">IF(A344&lt;&gt;"",YEAR(A344),"")</f>
        <v/>
      </c>
      <c r="D344" s="69"/>
      <c r="E344" s="69"/>
      <c r="F344" s="14"/>
    </row>
    <row r="345" customFormat="false" ht="16.5" hidden="false" customHeight="true" outlineLevel="0" collapsed="false">
      <c r="A345" s="70"/>
      <c r="B345" s="71" t="str">
        <f aca="false">IF(A345&lt;&gt;"",TEXT(A345,"mmm"),"")</f>
        <v/>
      </c>
      <c r="C345" s="71" t="str">
        <f aca="false">IF(A345&lt;&gt;"",YEAR(A345),"")</f>
        <v/>
      </c>
      <c r="D345" s="72"/>
      <c r="E345" s="72"/>
      <c r="F345" s="73"/>
    </row>
    <row r="346" customFormat="false" ht="16.5" hidden="false" customHeight="true" outlineLevel="0" collapsed="false">
      <c r="A346" s="67"/>
      <c r="B346" s="68" t="str">
        <f aca="false">IF(A346&lt;&gt;"",TEXT(A346,"mmm"),"")</f>
        <v/>
      </c>
      <c r="C346" s="68" t="str">
        <f aca="false">IF(A346&lt;&gt;"",YEAR(A346),"")</f>
        <v/>
      </c>
      <c r="D346" s="69"/>
      <c r="E346" s="69"/>
      <c r="F346" s="14"/>
    </row>
    <row r="347" customFormat="false" ht="16.5" hidden="false" customHeight="true" outlineLevel="0" collapsed="false">
      <c r="A347" s="70"/>
      <c r="B347" s="71" t="str">
        <f aca="false">IF(A347&lt;&gt;"",TEXT(A347,"mmm"),"")</f>
        <v/>
      </c>
      <c r="C347" s="71" t="str">
        <f aca="false">IF(A347&lt;&gt;"",YEAR(A347),"")</f>
        <v/>
      </c>
      <c r="D347" s="72"/>
      <c r="E347" s="72"/>
      <c r="F347" s="73"/>
    </row>
    <row r="348" customFormat="false" ht="16.5" hidden="false" customHeight="true" outlineLevel="0" collapsed="false">
      <c r="A348" s="67"/>
      <c r="B348" s="68" t="str">
        <f aca="false">IF(A348&lt;&gt;"",TEXT(A348,"mmm"),"")</f>
        <v/>
      </c>
      <c r="C348" s="68" t="str">
        <f aca="false">IF(A348&lt;&gt;"",YEAR(A348),"")</f>
        <v/>
      </c>
      <c r="D348" s="69"/>
      <c r="E348" s="69"/>
      <c r="F348" s="14"/>
    </row>
    <row r="349" customFormat="false" ht="16.5" hidden="false" customHeight="true" outlineLevel="0" collapsed="false">
      <c r="A349" s="70"/>
      <c r="B349" s="71" t="str">
        <f aca="false">IF(A349&lt;&gt;"",TEXT(A349,"mmm"),"")</f>
        <v/>
      </c>
      <c r="C349" s="71" t="str">
        <f aca="false">IF(A349&lt;&gt;"",YEAR(A349),"")</f>
        <v/>
      </c>
      <c r="D349" s="72"/>
      <c r="E349" s="72"/>
      <c r="F349" s="73"/>
    </row>
    <row r="350" customFormat="false" ht="16.5" hidden="false" customHeight="true" outlineLevel="0" collapsed="false">
      <c r="A350" s="67"/>
      <c r="B350" s="68" t="str">
        <f aca="false">IF(A350&lt;&gt;"",TEXT(A350,"mmm"),"")</f>
        <v/>
      </c>
      <c r="C350" s="68" t="str">
        <f aca="false">IF(A350&lt;&gt;"",YEAR(A350),"")</f>
        <v/>
      </c>
      <c r="D350" s="69"/>
      <c r="E350" s="69"/>
      <c r="F350" s="14"/>
    </row>
    <row r="351" customFormat="false" ht="16.5" hidden="false" customHeight="true" outlineLevel="0" collapsed="false">
      <c r="A351" s="70"/>
      <c r="B351" s="71" t="str">
        <f aca="false">IF(A351&lt;&gt;"",TEXT(A351,"mmm"),"")</f>
        <v/>
      </c>
      <c r="C351" s="71" t="str">
        <f aca="false">IF(A351&lt;&gt;"",YEAR(A351),"")</f>
        <v/>
      </c>
      <c r="D351" s="72"/>
      <c r="E351" s="72"/>
      <c r="F351" s="73"/>
    </row>
    <row r="352" customFormat="false" ht="16.5" hidden="false" customHeight="true" outlineLevel="0" collapsed="false">
      <c r="A352" s="67"/>
      <c r="B352" s="68" t="str">
        <f aca="false">IF(A352&lt;&gt;"",TEXT(A352,"mmm"),"")</f>
        <v/>
      </c>
      <c r="C352" s="68" t="str">
        <f aca="false">IF(A352&lt;&gt;"",YEAR(A352),"")</f>
        <v/>
      </c>
      <c r="D352" s="69"/>
      <c r="E352" s="69"/>
      <c r="F352" s="14"/>
    </row>
    <row r="353" customFormat="false" ht="16.5" hidden="false" customHeight="true" outlineLevel="0" collapsed="false">
      <c r="A353" s="70"/>
      <c r="B353" s="71" t="str">
        <f aca="false">IF(A353&lt;&gt;"",TEXT(A353,"mmm"),"")</f>
        <v/>
      </c>
      <c r="C353" s="71" t="str">
        <f aca="false">IF(A353&lt;&gt;"",YEAR(A353),"")</f>
        <v/>
      </c>
      <c r="D353" s="72"/>
      <c r="E353" s="72"/>
      <c r="F353" s="73"/>
    </row>
    <row r="354" customFormat="false" ht="16.5" hidden="false" customHeight="true" outlineLevel="0" collapsed="false">
      <c r="A354" s="67"/>
      <c r="B354" s="68" t="str">
        <f aca="false">IF(A354&lt;&gt;"",TEXT(A354,"mmm"),"")</f>
        <v/>
      </c>
      <c r="C354" s="68" t="str">
        <f aca="false">IF(A354&lt;&gt;"",YEAR(A354),"")</f>
        <v/>
      </c>
      <c r="D354" s="69"/>
      <c r="E354" s="69"/>
      <c r="F354" s="14"/>
    </row>
    <row r="355" customFormat="false" ht="16.5" hidden="false" customHeight="true" outlineLevel="0" collapsed="false">
      <c r="A355" s="70"/>
      <c r="B355" s="71" t="str">
        <f aca="false">IF(A355&lt;&gt;"",TEXT(A355,"mmm"),"")</f>
        <v/>
      </c>
      <c r="C355" s="71" t="str">
        <f aca="false">IF(A355&lt;&gt;"",YEAR(A355),"")</f>
        <v/>
      </c>
      <c r="D355" s="72"/>
      <c r="E355" s="72"/>
      <c r="F355" s="73"/>
    </row>
    <row r="356" customFormat="false" ht="16.5" hidden="false" customHeight="true" outlineLevel="0" collapsed="false">
      <c r="A356" s="67"/>
      <c r="B356" s="68" t="str">
        <f aca="false">IF(A356&lt;&gt;"",TEXT(A356,"mmm"),"")</f>
        <v/>
      </c>
      <c r="C356" s="68" t="str">
        <f aca="false">IF(A356&lt;&gt;"",YEAR(A356),"")</f>
        <v/>
      </c>
      <c r="D356" s="69"/>
      <c r="E356" s="69"/>
      <c r="F356" s="14"/>
    </row>
    <row r="357" customFormat="false" ht="16.5" hidden="false" customHeight="true" outlineLevel="0" collapsed="false">
      <c r="A357" s="70"/>
      <c r="B357" s="71" t="str">
        <f aca="false">IF(A357&lt;&gt;"",TEXT(A357,"mmm"),"")</f>
        <v/>
      </c>
      <c r="C357" s="71" t="str">
        <f aca="false">IF(A357&lt;&gt;"",YEAR(A357),"")</f>
        <v/>
      </c>
      <c r="D357" s="72"/>
      <c r="E357" s="72"/>
      <c r="F357" s="73"/>
    </row>
    <row r="358" customFormat="false" ht="16.5" hidden="false" customHeight="true" outlineLevel="0" collapsed="false">
      <c r="A358" s="67"/>
      <c r="B358" s="68" t="str">
        <f aca="false">IF(A358&lt;&gt;"",TEXT(A358,"mmm"),"")</f>
        <v/>
      </c>
      <c r="C358" s="68" t="str">
        <f aca="false">IF(A358&lt;&gt;"",YEAR(A358),"")</f>
        <v/>
      </c>
      <c r="D358" s="69"/>
      <c r="E358" s="69"/>
      <c r="F358" s="14"/>
    </row>
    <row r="359" customFormat="false" ht="16.5" hidden="false" customHeight="true" outlineLevel="0" collapsed="false">
      <c r="A359" s="70"/>
      <c r="B359" s="71" t="str">
        <f aca="false">IF(A359&lt;&gt;"",TEXT(A359,"mmm"),"")</f>
        <v/>
      </c>
      <c r="C359" s="71" t="str">
        <f aca="false">IF(A359&lt;&gt;"",YEAR(A359),"")</f>
        <v/>
      </c>
      <c r="D359" s="72"/>
      <c r="E359" s="72"/>
      <c r="F359" s="73"/>
    </row>
    <row r="360" customFormat="false" ht="16.5" hidden="false" customHeight="true" outlineLevel="0" collapsed="false">
      <c r="A360" s="67"/>
      <c r="B360" s="68" t="str">
        <f aca="false">IF(A360&lt;&gt;"",TEXT(A360,"mmm"),"")</f>
        <v/>
      </c>
      <c r="C360" s="68" t="str">
        <f aca="false">IF(A360&lt;&gt;"",YEAR(A360),"")</f>
        <v/>
      </c>
      <c r="D360" s="69"/>
      <c r="E360" s="69"/>
      <c r="F360" s="14"/>
    </row>
    <row r="361" customFormat="false" ht="16.5" hidden="false" customHeight="true" outlineLevel="0" collapsed="false">
      <c r="A361" s="70"/>
      <c r="B361" s="71" t="str">
        <f aca="false">IF(A361&lt;&gt;"",TEXT(A361,"mmm"),"")</f>
        <v/>
      </c>
      <c r="C361" s="71" t="str">
        <f aca="false">IF(A361&lt;&gt;"",YEAR(A361),"")</f>
        <v/>
      </c>
      <c r="D361" s="72"/>
      <c r="E361" s="72"/>
      <c r="F361" s="73"/>
    </row>
    <row r="362" customFormat="false" ht="16.5" hidden="false" customHeight="true" outlineLevel="0" collapsed="false">
      <c r="A362" s="67"/>
      <c r="B362" s="68" t="str">
        <f aca="false">IF(A362&lt;&gt;"",TEXT(A362,"mmm"),"")</f>
        <v/>
      </c>
      <c r="C362" s="68" t="str">
        <f aca="false">IF(A362&lt;&gt;"",YEAR(A362),"")</f>
        <v/>
      </c>
      <c r="D362" s="69"/>
      <c r="E362" s="69"/>
      <c r="F362" s="14"/>
    </row>
    <row r="363" customFormat="false" ht="16.5" hidden="false" customHeight="true" outlineLevel="0" collapsed="false">
      <c r="A363" s="70"/>
      <c r="B363" s="71" t="str">
        <f aca="false">IF(A363&lt;&gt;"",TEXT(A363,"mmm"),"")</f>
        <v/>
      </c>
      <c r="C363" s="71" t="str">
        <f aca="false">IF(A363&lt;&gt;"",YEAR(A363),"")</f>
        <v/>
      </c>
      <c r="D363" s="72"/>
      <c r="E363" s="72"/>
      <c r="F363" s="73"/>
    </row>
    <row r="364" customFormat="false" ht="16.5" hidden="false" customHeight="true" outlineLevel="0" collapsed="false">
      <c r="A364" s="67"/>
      <c r="B364" s="68" t="str">
        <f aca="false">IF(A364&lt;&gt;"",TEXT(A364,"mmm"),"")</f>
        <v/>
      </c>
      <c r="C364" s="68" t="str">
        <f aca="false">IF(A364&lt;&gt;"",YEAR(A364),"")</f>
        <v/>
      </c>
      <c r="D364" s="69"/>
      <c r="E364" s="69"/>
      <c r="F364" s="14"/>
    </row>
    <row r="365" customFormat="false" ht="16.5" hidden="false" customHeight="true" outlineLevel="0" collapsed="false">
      <c r="A365" s="70"/>
      <c r="B365" s="71" t="str">
        <f aca="false">IF(A365&lt;&gt;"",TEXT(A365,"mmm"),"")</f>
        <v/>
      </c>
      <c r="C365" s="71" t="str">
        <f aca="false">IF(A365&lt;&gt;"",YEAR(A365),"")</f>
        <v/>
      </c>
      <c r="D365" s="72"/>
      <c r="E365" s="72"/>
      <c r="F365" s="73"/>
    </row>
    <row r="366" customFormat="false" ht="16.5" hidden="false" customHeight="true" outlineLevel="0" collapsed="false">
      <c r="A366" s="67"/>
      <c r="B366" s="68" t="str">
        <f aca="false">IF(A366&lt;&gt;"",TEXT(A366,"mmm"),"")</f>
        <v/>
      </c>
      <c r="C366" s="68" t="str">
        <f aca="false">IF(A366&lt;&gt;"",YEAR(A366),"")</f>
        <v/>
      </c>
      <c r="D366" s="69"/>
      <c r="E366" s="69"/>
      <c r="F366" s="14"/>
    </row>
    <row r="367" customFormat="false" ht="16.5" hidden="false" customHeight="true" outlineLevel="0" collapsed="false">
      <c r="A367" s="70"/>
      <c r="B367" s="71" t="str">
        <f aca="false">IF(A367&lt;&gt;"",TEXT(A367,"mmm"),"")</f>
        <v/>
      </c>
      <c r="C367" s="71" t="str">
        <f aca="false">IF(A367&lt;&gt;"",YEAR(A367),"")</f>
        <v/>
      </c>
      <c r="D367" s="72"/>
      <c r="E367" s="72"/>
      <c r="F367" s="73"/>
    </row>
    <row r="368" customFormat="false" ht="16.5" hidden="false" customHeight="true" outlineLevel="0" collapsed="false">
      <c r="A368" s="67"/>
      <c r="B368" s="68" t="str">
        <f aca="false">IF(A368&lt;&gt;"",TEXT(A368,"mmm"),"")</f>
        <v/>
      </c>
      <c r="C368" s="68" t="str">
        <f aca="false">IF(A368&lt;&gt;"",YEAR(A368),"")</f>
        <v/>
      </c>
      <c r="D368" s="69"/>
      <c r="E368" s="69"/>
      <c r="F368" s="14"/>
    </row>
    <row r="369" customFormat="false" ht="16.5" hidden="false" customHeight="true" outlineLevel="0" collapsed="false">
      <c r="A369" s="70"/>
      <c r="B369" s="71" t="str">
        <f aca="false">IF(A369&lt;&gt;"",TEXT(A369,"mmm"),"")</f>
        <v/>
      </c>
      <c r="C369" s="71" t="str">
        <f aca="false">IF(A369&lt;&gt;"",YEAR(A369),"")</f>
        <v/>
      </c>
      <c r="D369" s="72"/>
      <c r="E369" s="72"/>
      <c r="F369" s="73"/>
    </row>
    <row r="370" customFormat="false" ht="16.5" hidden="false" customHeight="true" outlineLevel="0" collapsed="false">
      <c r="A370" s="67"/>
      <c r="B370" s="68" t="str">
        <f aca="false">IF(A370&lt;&gt;"",TEXT(A370,"mmm"),"")</f>
        <v/>
      </c>
      <c r="C370" s="68" t="str">
        <f aca="false">IF(A370&lt;&gt;"",YEAR(A370),"")</f>
        <v/>
      </c>
      <c r="D370" s="69"/>
      <c r="E370" s="69"/>
      <c r="F370" s="14"/>
    </row>
    <row r="371" customFormat="false" ht="16.5" hidden="false" customHeight="true" outlineLevel="0" collapsed="false">
      <c r="A371" s="70"/>
      <c r="B371" s="71" t="str">
        <f aca="false">IF(A371&lt;&gt;"",TEXT(A371,"mmm"),"")</f>
        <v/>
      </c>
      <c r="C371" s="71" t="str">
        <f aca="false">IF(A371&lt;&gt;"",YEAR(A371),"")</f>
        <v/>
      </c>
      <c r="D371" s="72"/>
      <c r="E371" s="72"/>
      <c r="F371" s="73"/>
    </row>
    <row r="372" customFormat="false" ht="16.5" hidden="false" customHeight="true" outlineLevel="0" collapsed="false">
      <c r="A372" s="67"/>
      <c r="B372" s="68" t="str">
        <f aca="false">IF(A372&lt;&gt;"",TEXT(A372,"mmm"),"")</f>
        <v/>
      </c>
      <c r="C372" s="68" t="str">
        <f aca="false">IF(A372&lt;&gt;"",YEAR(A372),"")</f>
        <v/>
      </c>
      <c r="D372" s="69"/>
      <c r="E372" s="69"/>
      <c r="F372" s="14"/>
    </row>
    <row r="373" customFormat="false" ht="16.5" hidden="false" customHeight="true" outlineLevel="0" collapsed="false">
      <c r="A373" s="70"/>
      <c r="B373" s="71" t="str">
        <f aca="false">IF(A373&lt;&gt;"",TEXT(A373,"mmm"),"")</f>
        <v/>
      </c>
      <c r="C373" s="71" t="str">
        <f aca="false">IF(A373&lt;&gt;"",YEAR(A373),"")</f>
        <v/>
      </c>
      <c r="D373" s="72"/>
      <c r="E373" s="72"/>
      <c r="F373" s="73"/>
    </row>
    <row r="374" customFormat="false" ht="16.5" hidden="false" customHeight="true" outlineLevel="0" collapsed="false">
      <c r="A374" s="67"/>
      <c r="B374" s="68" t="str">
        <f aca="false">IF(A374&lt;&gt;"",TEXT(A374,"mmm"),"")</f>
        <v/>
      </c>
      <c r="C374" s="68" t="str">
        <f aca="false">IF(A374&lt;&gt;"",YEAR(A374),"")</f>
        <v/>
      </c>
      <c r="D374" s="69"/>
      <c r="E374" s="69"/>
      <c r="F374" s="14"/>
    </row>
    <row r="375" customFormat="false" ht="16.5" hidden="false" customHeight="true" outlineLevel="0" collapsed="false">
      <c r="A375" s="70"/>
      <c r="B375" s="71" t="str">
        <f aca="false">IF(A375&lt;&gt;"",TEXT(A375,"mmm"),"")</f>
        <v/>
      </c>
      <c r="C375" s="71" t="str">
        <f aca="false">IF(A375&lt;&gt;"",YEAR(A375),"")</f>
        <v/>
      </c>
      <c r="D375" s="72"/>
      <c r="E375" s="72"/>
      <c r="F375" s="73"/>
    </row>
    <row r="376" customFormat="false" ht="16.5" hidden="false" customHeight="true" outlineLevel="0" collapsed="false">
      <c r="A376" s="67"/>
      <c r="B376" s="68" t="str">
        <f aca="false">IF(A376&lt;&gt;"",TEXT(A376,"mmm"),"")</f>
        <v/>
      </c>
      <c r="C376" s="68" t="str">
        <f aca="false">IF(A376&lt;&gt;"",YEAR(A376),"")</f>
        <v/>
      </c>
      <c r="D376" s="69"/>
      <c r="E376" s="69"/>
      <c r="F376" s="14"/>
    </row>
    <row r="377" customFormat="false" ht="16.5" hidden="false" customHeight="true" outlineLevel="0" collapsed="false">
      <c r="A377" s="70"/>
      <c r="B377" s="71" t="str">
        <f aca="false">IF(A377&lt;&gt;"",TEXT(A377,"mmm"),"")</f>
        <v/>
      </c>
      <c r="C377" s="71" t="str">
        <f aca="false">IF(A377&lt;&gt;"",YEAR(A377),"")</f>
        <v/>
      </c>
      <c r="D377" s="72"/>
      <c r="E377" s="72"/>
      <c r="F377" s="73"/>
    </row>
    <row r="378" customFormat="false" ht="16.5" hidden="false" customHeight="true" outlineLevel="0" collapsed="false">
      <c r="A378" s="67"/>
      <c r="B378" s="68" t="str">
        <f aca="false">IF(A378&lt;&gt;"",TEXT(A378,"mmm"),"")</f>
        <v/>
      </c>
      <c r="C378" s="68" t="str">
        <f aca="false">IF(A378&lt;&gt;"",YEAR(A378),"")</f>
        <v/>
      </c>
      <c r="D378" s="69"/>
      <c r="E378" s="69"/>
      <c r="F378" s="14"/>
    </row>
    <row r="379" customFormat="false" ht="16.5" hidden="false" customHeight="true" outlineLevel="0" collapsed="false">
      <c r="A379" s="70"/>
      <c r="B379" s="71" t="str">
        <f aca="false">IF(A379&lt;&gt;"",TEXT(A379,"mmm"),"")</f>
        <v/>
      </c>
      <c r="C379" s="71" t="str">
        <f aca="false">IF(A379&lt;&gt;"",YEAR(A379),"")</f>
        <v/>
      </c>
      <c r="D379" s="72"/>
      <c r="E379" s="72"/>
      <c r="F379" s="73"/>
    </row>
    <row r="380" customFormat="false" ht="16.5" hidden="false" customHeight="true" outlineLevel="0" collapsed="false">
      <c r="A380" s="67"/>
      <c r="B380" s="68" t="str">
        <f aca="false">IF(A380&lt;&gt;"",TEXT(A380,"mmm"),"")</f>
        <v/>
      </c>
      <c r="C380" s="68" t="str">
        <f aca="false">IF(A380&lt;&gt;"",YEAR(A380),"")</f>
        <v/>
      </c>
      <c r="D380" s="69"/>
      <c r="E380" s="69"/>
      <c r="F380" s="14"/>
    </row>
    <row r="381" customFormat="false" ht="16.5" hidden="false" customHeight="true" outlineLevel="0" collapsed="false">
      <c r="A381" s="70"/>
      <c r="B381" s="71" t="str">
        <f aca="false">IF(A381&lt;&gt;"",TEXT(A381,"mmm"),"")</f>
        <v/>
      </c>
      <c r="C381" s="71" t="str">
        <f aca="false">IF(A381&lt;&gt;"",YEAR(A381),"")</f>
        <v/>
      </c>
      <c r="D381" s="72"/>
      <c r="E381" s="72"/>
      <c r="F381" s="73"/>
    </row>
    <row r="382" customFormat="false" ht="16.5" hidden="false" customHeight="true" outlineLevel="0" collapsed="false">
      <c r="A382" s="67"/>
      <c r="B382" s="68" t="str">
        <f aca="false">IF(A382&lt;&gt;"",TEXT(A382,"mmm"),"")</f>
        <v/>
      </c>
      <c r="C382" s="68" t="str">
        <f aca="false">IF(A382&lt;&gt;"",YEAR(A382),"")</f>
        <v/>
      </c>
      <c r="D382" s="69"/>
      <c r="E382" s="69"/>
      <c r="F382" s="14"/>
    </row>
    <row r="383" customFormat="false" ht="16.5" hidden="false" customHeight="true" outlineLevel="0" collapsed="false">
      <c r="A383" s="70"/>
      <c r="B383" s="71" t="str">
        <f aca="false">IF(A383&lt;&gt;"",TEXT(A383,"mmm"),"")</f>
        <v/>
      </c>
      <c r="C383" s="71" t="str">
        <f aca="false">IF(A383&lt;&gt;"",YEAR(A383),"")</f>
        <v/>
      </c>
      <c r="D383" s="72"/>
      <c r="E383" s="72"/>
      <c r="F383" s="73"/>
    </row>
    <row r="384" customFormat="false" ht="16.5" hidden="false" customHeight="true" outlineLevel="0" collapsed="false">
      <c r="A384" s="67"/>
      <c r="B384" s="68" t="str">
        <f aca="false">IF(A384&lt;&gt;"",TEXT(A384,"mmm"),"")</f>
        <v/>
      </c>
      <c r="C384" s="68" t="str">
        <f aca="false">IF(A384&lt;&gt;"",YEAR(A384),"")</f>
        <v/>
      </c>
      <c r="D384" s="69"/>
      <c r="E384" s="69"/>
      <c r="F384" s="14"/>
    </row>
    <row r="385" customFormat="false" ht="16.5" hidden="false" customHeight="true" outlineLevel="0" collapsed="false">
      <c r="A385" s="70"/>
      <c r="B385" s="71" t="str">
        <f aca="false">IF(A385&lt;&gt;"",TEXT(A385,"mmm"),"")</f>
        <v/>
      </c>
      <c r="C385" s="71" t="str">
        <f aca="false">IF(A385&lt;&gt;"",YEAR(A385),"")</f>
        <v/>
      </c>
      <c r="D385" s="72"/>
      <c r="E385" s="72"/>
      <c r="F385" s="73"/>
    </row>
    <row r="386" customFormat="false" ht="16.5" hidden="false" customHeight="true" outlineLevel="0" collapsed="false">
      <c r="A386" s="67"/>
      <c r="B386" s="68" t="str">
        <f aca="false">IF(A386&lt;&gt;"",TEXT(A386,"mmm"),"")</f>
        <v/>
      </c>
      <c r="C386" s="68" t="str">
        <f aca="false">IF(A386&lt;&gt;"",YEAR(A386),"")</f>
        <v/>
      </c>
      <c r="D386" s="69"/>
      <c r="E386" s="69"/>
      <c r="F386" s="14"/>
    </row>
    <row r="387" customFormat="false" ht="16.5" hidden="false" customHeight="true" outlineLevel="0" collapsed="false">
      <c r="A387" s="70"/>
      <c r="B387" s="71" t="str">
        <f aca="false">IF(A387&lt;&gt;"",TEXT(A387,"mmm"),"")</f>
        <v/>
      </c>
      <c r="C387" s="71" t="str">
        <f aca="false">IF(A387&lt;&gt;"",YEAR(A387),"")</f>
        <v/>
      </c>
      <c r="D387" s="72"/>
      <c r="E387" s="72"/>
      <c r="F387" s="73"/>
    </row>
    <row r="388" customFormat="false" ht="16.5" hidden="false" customHeight="true" outlineLevel="0" collapsed="false">
      <c r="A388" s="67"/>
      <c r="B388" s="68" t="str">
        <f aca="false">IF(A388&lt;&gt;"",TEXT(A388,"mmm"),"")</f>
        <v/>
      </c>
      <c r="C388" s="68" t="str">
        <f aca="false">IF(A388&lt;&gt;"",YEAR(A388),"")</f>
        <v/>
      </c>
      <c r="D388" s="69"/>
      <c r="E388" s="69"/>
      <c r="F388" s="14"/>
    </row>
    <row r="389" customFormat="false" ht="16.5" hidden="false" customHeight="true" outlineLevel="0" collapsed="false">
      <c r="A389" s="70"/>
      <c r="B389" s="71" t="str">
        <f aca="false">IF(A389&lt;&gt;"",TEXT(A389,"mmm"),"")</f>
        <v/>
      </c>
      <c r="C389" s="71" t="str">
        <f aca="false">IF(A389&lt;&gt;"",YEAR(A389),"")</f>
        <v/>
      </c>
      <c r="D389" s="72"/>
      <c r="E389" s="72"/>
      <c r="F389" s="73"/>
    </row>
    <row r="390" customFormat="false" ht="16.5" hidden="false" customHeight="true" outlineLevel="0" collapsed="false">
      <c r="A390" s="67"/>
      <c r="B390" s="68" t="str">
        <f aca="false">IF(A390&lt;&gt;"",TEXT(A390,"mmm"),"")</f>
        <v/>
      </c>
      <c r="C390" s="68" t="str">
        <f aca="false">IF(A390&lt;&gt;"",YEAR(A390),"")</f>
        <v/>
      </c>
      <c r="D390" s="69"/>
      <c r="E390" s="69"/>
      <c r="F390" s="14"/>
    </row>
    <row r="391" customFormat="false" ht="16.5" hidden="false" customHeight="true" outlineLevel="0" collapsed="false">
      <c r="A391" s="70"/>
      <c r="B391" s="71" t="str">
        <f aca="false">IF(A391&lt;&gt;"",TEXT(A391,"mmm"),"")</f>
        <v/>
      </c>
      <c r="C391" s="71" t="str">
        <f aca="false">IF(A391&lt;&gt;"",YEAR(A391),"")</f>
        <v/>
      </c>
      <c r="D391" s="72"/>
      <c r="E391" s="72"/>
      <c r="F391" s="73"/>
    </row>
    <row r="392" customFormat="false" ht="16.5" hidden="false" customHeight="true" outlineLevel="0" collapsed="false">
      <c r="A392" s="67"/>
      <c r="B392" s="68" t="str">
        <f aca="false">IF(A392&lt;&gt;"",TEXT(A392,"mmm"),"")</f>
        <v/>
      </c>
      <c r="C392" s="68" t="str">
        <f aca="false">IF(A392&lt;&gt;"",YEAR(A392),"")</f>
        <v/>
      </c>
      <c r="D392" s="69"/>
      <c r="E392" s="69"/>
      <c r="F392" s="14"/>
    </row>
    <row r="393" customFormat="false" ht="16.5" hidden="false" customHeight="true" outlineLevel="0" collapsed="false">
      <c r="A393" s="70"/>
      <c r="B393" s="71" t="str">
        <f aca="false">IF(A393&lt;&gt;"",TEXT(A393,"mmm"),"")</f>
        <v/>
      </c>
      <c r="C393" s="71" t="str">
        <f aca="false">IF(A393&lt;&gt;"",YEAR(A393),"")</f>
        <v/>
      </c>
      <c r="D393" s="72"/>
      <c r="E393" s="72"/>
      <c r="F393" s="73"/>
    </row>
    <row r="394" customFormat="false" ht="16.5" hidden="false" customHeight="true" outlineLevel="0" collapsed="false">
      <c r="A394" s="67"/>
      <c r="B394" s="68" t="str">
        <f aca="false">IF(A394&lt;&gt;"",TEXT(A394,"mmm"),"")</f>
        <v/>
      </c>
      <c r="C394" s="68" t="str">
        <f aca="false">IF(A394&lt;&gt;"",YEAR(A394),"")</f>
        <v/>
      </c>
      <c r="D394" s="69"/>
      <c r="E394" s="69"/>
      <c r="F394" s="14"/>
    </row>
    <row r="395" customFormat="false" ht="16.5" hidden="false" customHeight="true" outlineLevel="0" collapsed="false">
      <c r="A395" s="70"/>
      <c r="B395" s="71" t="str">
        <f aca="false">IF(A395&lt;&gt;"",TEXT(A395,"mmm"),"")</f>
        <v/>
      </c>
      <c r="C395" s="71" t="str">
        <f aca="false">IF(A395&lt;&gt;"",YEAR(A395),"")</f>
        <v/>
      </c>
      <c r="D395" s="72"/>
      <c r="E395" s="72"/>
      <c r="F395" s="73"/>
    </row>
    <row r="396" customFormat="false" ht="16.5" hidden="false" customHeight="true" outlineLevel="0" collapsed="false">
      <c r="A396" s="67"/>
      <c r="B396" s="68" t="str">
        <f aca="false">IF(A396&lt;&gt;"",TEXT(A396,"mmm"),"")</f>
        <v/>
      </c>
      <c r="C396" s="68" t="str">
        <f aca="false">IF(A396&lt;&gt;"",YEAR(A396),"")</f>
        <v/>
      </c>
      <c r="D396" s="69"/>
      <c r="E396" s="69"/>
      <c r="F396" s="14"/>
    </row>
    <row r="397" customFormat="false" ht="16.5" hidden="false" customHeight="true" outlineLevel="0" collapsed="false">
      <c r="A397" s="70"/>
      <c r="B397" s="71" t="str">
        <f aca="false">IF(A397&lt;&gt;"",TEXT(A397,"mmm"),"")</f>
        <v/>
      </c>
      <c r="C397" s="71" t="str">
        <f aca="false">IF(A397&lt;&gt;"",YEAR(A397),"")</f>
        <v/>
      </c>
      <c r="D397" s="72"/>
      <c r="E397" s="72"/>
      <c r="F397" s="73"/>
    </row>
    <row r="398" customFormat="false" ht="16.5" hidden="false" customHeight="true" outlineLevel="0" collapsed="false">
      <c r="A398" s="67"/>
      <c r="B398" s="68" t="str">
        <f aca="false">IF(A398&lt;&gt;"",TEXT(A398,"mmm"),"")</f>
        <v/>
      </c>
      <c r="C398" s="68" t="str">
        <f aca="false">IF(A398&lt;&gt;"",YEAR(A398),"")</f>
        <v/>
      </c>
      <c r="D398" s="69"/>
      <c r="E398" s="69"/>
      <c r="F398" s="14"/>
    </row>
    <row r="399" customFormat="false" ht="16.5" hidden="false" customHeight="true" outlineLevel="0" collapsed="false">
      <c r="A399" s="70"/>
      <c r="B399" s="71" t="str">
        <f aca="false">IF(A399&lt;&gt;"",TEXT(A399,"mmm"),"")</f>
        <v/>
      </c>
      <c r="C399" s="71" t="str">
        <f aca="false">IF(A399&lt;&gt;"",YEAR(A399),"")</f>
        <v/>
      </c>
      <c r="D399" s="72"/>
      <c r="E399" s="72"/>
      <c r="F399" s="73"/>
    </row>
    <row r="400" customFormat="false" ht="16.5" hidden="false" customHeight="true" outlineLevel="0" collapsed="false">
      <c r="A400" s="67"/>
      <c r="B400" s="68" t="str">
        <f aca="false">IF(A400&lt;&gt;"",TEXT(A400,"mmm"),"")</f>
        <v/>
      </c>
      <c r="C400" s="68" t="str">
        <f aca="false">IF(A400&lt;&gt;"",YEAR(A400),"")</f>
        <v/>
      </c>
      <c r="D400" s="69"/>
      <c r="E400" s="69"/>
      <c r="F400" s="14"/>
    </row>
    <row r="401" customFormat="false" ht="16.5" hidden="false" customHeight="true" outlineLevel="0" collapsed="false">
      <c r="A401" s="70"/>
      <c r="B401" s="71" t="str">
        <f aca="false">IF(A401&lt;&gt;"",TEXT(A401,"mmm"),"")</f>
        <v/>
      </c>
      <c r="C401" s="71" t="str">
        <f aca="false">IF(A401&lt;&gt;"",YEAR(A401),"")</f>
        <v/>
      </c>
      <c r="D401" s="72"/>
      <c r="E401" s="72"/>
      <c r="F401" s="73"/>
    </row>
    <row r="402" customFormat="false" ht="16.5" hidden="false" customHeight="true" outlineLevel="0" collapsed="false">
      <c r="A402" s="67"/>
      <c r="B402" s="68" t="str">
        <f aca="false">IF(A402&lt;&gt;"",TEXT(A402,"mmm"),"")</f>
        <v/>
      </c>
      <c r="C402" s="68" t="str">
        <f aca="false">IF(A402&lt;&gt;"",YEAR(A402),"")</f>
        <v/>
      </c>
      <c r="D402" s="69"/>
      <c r="E402" s="69"/>
      <c r="F402" s="14"/>
    </row>
    <row r="403" customFormat="false" ht="16.5" hidden="false" customHeight="true" outlineLevel="0" collapsed="false">
      <c r="A403" s="70"/>
      <c r="B403" s="71" t="str">
        <f aca="false">IF(A403&lt;&gt;"",TEXT(A403,"mmm"),"")</f>
        <v/>
      </c>
      <c r="C403" s="71" t="str">
        <f aca="false">IF(A403&lt;&gt;"",YEAR(A403),"")</f>
        <v/>
      </c>
      <c r="D403" s="72"/>
      <c r="E403" s="72"/>
      <c r="F403" s="73"/>
    </row>
    <row r="404" customFormat="false" ht="16.5" hidden="false" customHeight="true" outlineLevel="0" collapsed="false">
      <c r="A404" s="67"/>
      <c r="B404" s="68" t="str">
        <f aca="false">IF(A404&lt;&gt;"",TEXT(A404,"mmm"),"")</f>
        <v/>
      </c>
      <c r="C404" s="68" t="str">
        <f aca="false">IF(A404&lt;&gt;"",YEAR(A404),"")</f>
        <v/>
      </c>
      <c r="D404" s="69"/>
      <c r="E404" s="69"/>
      <c r="F404" s="14"/>
    </row>
    <row r="405" customFormat="false" ht="16.5" hidden="false" customHeight="true" outlineLevel="0" collapsed="false">
      <c r="A405" s="70"/>
      <c r="B405" s="71" t="str">
        <f aca="false">IF(A405&lt;&gt;"",TEXT(A405,"mmm"),"")</f>
        <v/>
      </c>
      <c r="C405" s="71" t="str">
        <f aca="false">IF(A405&lt;&gt;"",YEAR(A405),"")</f>
        <v/>
      </c>
      <c r="D405" s="72"/>
      <c r="E405" s="72"/>
      <c r="F405" s="73"/>
    </row>
    <row r="406" customFormat="false" ht="16.5" hidden="false" customHeight="true" outlineLevel="0" collapsed="false">
      <c r="A406" s="67"/>
      <c r="B406" s="68" t="str">
        <f aca="false">IF(A406&lt;&gt;"",TEXT(A406,"mmm"),"")</f>
        <v/>
      </c>
      <c r="C406" s="68" t="str">
        <f aca="false">IF(A406&lt;&gt;"",YEAR(A406),"")</f>
        <v/>
      </c>
      <c r="D406" s="69"/>
      <c r="E406" s="69"/>
      <c r="F406" s="14"/>
    </row>
    <row r="407" customFormat="false" ht="16.5" hidden="false" customHeight="true" outlineLevel="0" collapsed="false">
      <c r="A407" s="70"/>
      <c r="B407" s="71" t="str">
        <f aca="false">IF(A407&lt;&gt;"",TEXT(A407,"mmm"),"")</f>
        <v/>
      </c>
      <c r="C407" s="71" t="str">
        <f aca="false">IF(A407&lt;&gt;"",YEAR(A407),"")</f>
        <v/>
      </c>
      <c r="D407" s="72"/>
      <c r="E407" s="72"/>
      <c r="F407" s="73"/>
    </row>
    <row r="408" customFormat="false" ht="16.5" hidden="false" customHeight="true" outlineLevel="0" collapsed="false">
      <c r="A408" s="67"/>
      <c r="B408" s="68" t="str">
        <f aca="false">IF(A408&lt;&gt;"",TEXT(A408,"mmm"),"")</f>
        <v/>
      </c>
      <c r="C408" s="68" t="str">
        <f aca="false">IF(A408&lt;&gt;"",YEAR(A408),"")</f>
        <v/>
      </c>
      <c r="D408" s="69"/>
      <c r="E408" s="69"/>
      <c r="F408" s="14"/>
    </row>
    <row r="409" customFormat="false" ht="16.5" hidden="false" customHeight="true" outlineLevel="0" collapsed="false">
      <c r="A409" s="70"/>
      <c r="B409" s="71" t="str">
        <f aca="false">IF(A409&lt;&gt;"",TEXT(A409,"mmm"),"")</f>
        <v/>
      </c>
      <c r="C409" s="71" t="str">
        <f aca="false">IF(A409&lt;&gt;"",YEAR(A409),"")</f>
        <v/>
      </c>
      <c r="D409" s="72"/>
      <c r="E409" s="72"/>
      <c r="F409" s="73"/>
    </row>
    <row r="410" customFormat="false" ht="16.5" hidden="false" customHeight="true" outlineLevel="0" collapsed="false">
      <c r="A410" s="67"/>
      <c r="B410" s="68" t="str">
        <f aca="false">IF(A410&lt;&gt;"",TEXT(A410,"mmm"),"")</f>
        <v/>
      </c>
      <c r="C410" s="68" t="str">
        <f aca="false">IF(A410&lt;&gt;"",YEAR(A410),"")</f>
        <v/>
      </c>
      <c r="D410" s="69"/>
      <c r="E410" s="69"/>
      <c r="F410" s="14"/>
    </row>
    <row r="411" customFormat="false" ht="16.5" hidden="false" customHeight="true" outlineLevel="0" collapsed="false">
      <c r="A411" s="70"/>
      <c r="B411" s="71" t="str">
        <f aca="false">IF(A411&lt;&gt;"",TEXT(A411,"mmm"),"")</f>
        <v/>
      </c>
      <c r="C411" s="71" t="str">
        <f aca="false">IF(A411&lt;&gt;"",YEAR(A411),"")</f>
        <v/>
      </c>
      <c r="D411" s="72"/>
      <c r="E411" s="72"/>
      <c r="F411" s="73"/>
    </row>
    <row r="412" customFormat="false" ht="16.5" hidden="false" customHeight="true" outlineLevel="0" collapsed="false">
      <c r="A412" s="67"/>
      <c r="B412" s="68" t="str">
        <f aca="false">IF(A412&lt;&gt;"",TEXT(A412,"mmm"),"")</f>
        <v/>
      </c>
      <c r="C412" s="68" t="str">
        <f aca="false">IF(A412&lt;&gt;"",YEAR(A412),"")</f>
        <v/>
      </c>
      <c r="D412" s="69"/>
      <c r="E412" s="69"/>
      <c r="F412" s="14"/>
    </row>
    <row r="413" customFormat="false" ht="16.5" hidden="false" customHeight="true" outlineLevel="0" collapsed="false">
      <c r="A413" s="70"/>
      <c r="B413" s="71" t="str">
        <f aca="false">IF(A413&lt;&gt;"",TEXT(A413,"mmm"),"")</f>
        <v/>
      </c>
      <c r="C413" s="71" t="str">
        <f aca="false">IF(A413&lt;&gt;"",YEAR(A413),"")</f>
        <v/>
      </c>
      <c r="D413" s="72"/>
      <c r="E413" s="72"/>
      <c r="F413" s="73"/>
    </row>
    <row r="414" customFormat="false" ht="16.5" hidden="false" customHeight="true" outlineLevel="0" collapsed="false">
      <c r="A414" s="67"/>
      <c r="B414" s="68" t="str">
        <f aca="false">IF(A414&lt;&gt;"",TEXT(A414,"mmm"),"")</f>
        <v/>
      </c>
      <c r="C414" s="68" t="str">
        <f aca="false">IF(A414&lt;&gt;"",YEAR(A414),"")</f>
        <v/>
      </c>
      <c r="D414" s="69"/>
      <c r="E414" s="69"/>
      <c r="F414" s="14"/>
    </row>
    <row r="415" customFormat="false" ht="16.5" hidden="false" customHeight="true" outlineLevel="0" collapsed="false">
      <c r="A415" s="70"/>
      <c r="B415" s="71" t="str">
        <f aca="false">IF(A415&lt;&gt;"",TEXT(A415,"mmm"),"")</f>
        <v/>
      </c>
      <c r="C415" s="71" t="str">
        <f aca="false">IF(A415&lt;&gt;"",YEAR(A415),"")</f>
        <v/>
      </c>
      <c r="D415" s="72"/>
      <c r="E415" s="72"/>
      <c r="F415" s="73"/>
    </row>
    <row r="416" customFormat="false" ht="16.5" hidden="false" customHeight="true" outlineLevel="0" collapsed="false">
      <c r="A416" s="67"/>
      <c r="B416" s="68" t="str">
        <f aca="false">IF(A416&lt;&gt;"",TEXT(A416,"mmm"),"")</f>
        <v/>
      </c>
      <c r="C416" s="68" t="str">
        <f aca="false">IF(A416&lt;&gt;"",YEAR(A416),"")</f>
        <v/>
      </c>
      <c r="D416" s="69"/>
      <c r="E416" s="69"/>
      <c r="F416" s="14"/>
    </row>
    <row r="417" customFormat="false" ht="16.5" hidden="false" customHeight="true" outlineLevel="0" collapsed="false">
      <c r="A417" s="70"/>
      <c r="B417" s="71" t="str">
        <f aca="false">IF(A417&lt;&gt;"",TEXT(A417,"mmm"),"")</f>
        <v/>
      </c>
      <c r="C417" s="71" t="str">
        <f aca="false">IF(A417&lt;&gt;"",YEAR(A417),"")</f>
        <v/>
      </c>
      <c r="D417" s="72"/>
      <c r="E417" s="72"/>
      <c r="F417" s="73"/>
    </row>
    <row r="418" customFormat="false" ht="16.5" hidden="false" customHeight="true" outlineLevel="0" collapsed="false">
      <c r="A418" s="67"/>
      <c r="B418" s="68" t="str">
        <f aca="false">IF(A418&lt;&gt;"",TEXT(A418,"mmm"),"")</f>
        <v/>
      </c>
      <c r="C418" s="68" t="str">
        <f aca="false">IF(A418&lt;&gt;"",YEAR(A418),"")</f>
        <v/>
      </c>
      <c r="D418" s="69"/>
      <c r="E418" s="69"/>
      <c r="F418" s="14"/>
    </row>
    <row r="419" customFormat="false" ht="16.5" hidden="false" customHeight="true" outlineLevel="0" collapsed="false">
      <c r="A419" s="70"/>
      <c r="B419" s="71" t="str">
        <f aca="false">IF(A419&lt;&gt;"",TEXT(A419,"mmm"),"")</f>
        <v/>
      </c>
      <c r="C419" s="71" t="str">
        <f aca="false">IF(A419&lt;&gt;"",YEAR(A419),"")</f>
        <v/>
      </c>
      <c r="D419" s="72"/>
      <c r="E419" s="72"/>
      <c r="F419" s="73"/>
    </row>
    <row r="420" customFormat="false" ht="16.5" hidden="false" customHeight="true" outlineLevel="0" collapsed="false">
      <c r="A420" s="67"/>
      <c r="B420" s="68" t="str">
        <f aca="false">IF(A420&lt;&gt;"",TEXT(A420,"mmm"),"")</f>
        <v/>
      </c>
      <c r="C420" s="68" t="str">
        <f aca="false">IF(A420&lt;&gt;"",YEAR(A420),"")</f>
        <v/>
      </c>
      <c r="D420" s="69"/>
      <c r="E420" s="69"/>
      <c r="F420" s="14"/>
    </row>
    <row r="421" customFormat="false" ht="16.5" hidden="false" customHeight="true" outlineLevel="0" collapsed="false">
      <c r="A421" s="70"/>
      <c r="B421" s="71" t="str">
        <f aca="false">IF(A421&lt;&gt;"",TEXT(A421,"mmm"),"")</f>
        <v/>
      </c>
      <c r="C421" s="71" t="str">
        <f aca="false">IF(A421&lt;&gt;"",YEAR(A421),"")</f>
        <v/>
      </c>
      <c r="D421" s="72"/>
      <c r="E421" s="72"/>
      <c r="F421" s="73"/>
    </row>
    <row r="422" customFormat="false" ht="16.5" hidden="false" customHeight="true" outlineLevel="0" collapsed="false">
      <c r="A422" s="67"/>
      <c r="B422" s="68" t="str">
        <f aca="false">IF(A422&lt;&gt;"",TEXT(A422,"mmm"),"")</f>
        <v/>
      </c>
      <c r="C422" s="68" t="str">
        <f aca="false">IF(A422&lt;&gt;"",YEAR(A422),"")</f>
        <v/>
      </c>
      <c r="D422" s="69"/>
      <c r="E422" s="69"/>
      <c r="F422" s="14"/>
    </row>
    <row r="423" customFormat="false" ht="16.5" hidden="false" customHeight="true" outlineLevel="0" collapsed="false">
      <c r="A423" s="70"/>
      <c r="B423" s="71" t="str">
        <f aca="false">IF(A423&lt;&gt;"",TEXT(A423,"mmm"),"")</f>
        <v/>
      </c>
      <c r="C423" s="71" t="str">
        <f aca="false">IF(A423&lt;&gt;"",YEAR(A423),"")</f>
        <v/>
      </c>
      <c r="D423" s="72"/>
      <c r="E423" s="72"/>
      <c r="F423" s="73"/>
    </row>
    <row r="424" customFormat="false" ht="16.5" hidden="false" customHeight="true" outlineLevel="0" collapsed="false">
      <c r="A424" s="67"/>
      <c r="B424" s="68" t="str">
        <f aca="false">IF(A424&lt;&gt;"",TEXT(A424,"mmm"),"")</f>
        <v/>
      </c>
      <c r="C424" s="68" t="str">
        <f aca="false">IF(A424&lt;&gt;"",YEAR(A424),"")</f>
        <v/>
      </c>
      <c r="D424" s="69"/>
      <c r="E424" s="69"/>
      <c r="F424" s="14"/>
    </row>
    <row r="425" customFormat="false" ht="16.5" hidden="false" customHeight="true" outlineLevel="0" collapsed="false">
      <c r="A425" s="70"/>
      <c r="B425" s="71" t="str">
        <f aca="false">IF(A425&lt;&gt;"",TEXT(A425,"mmm"),"")</f>
        <v/>
      </c>
      <c r="C425" s="71" t="str">
        <f aca="false">IF(A425&lt;&gt;"",YEAR(A425),"")</f>
        <v/>
      </c>
      <c r="D425" s="72"/>
      <c r="E425" s="72"/>
      <c r="F425" s="73"/>
    </row>
    <row r="426" customFormat="false" ht="16.5" hidden="false" customHeight="true" outlineLevel="0" collapsed="false">
      <c r="A426" s="67"/>
      <c r="B426" s="68" t="str">
        <f aca="false">IF(A426&lt;&gt;"",TEXT(A426,"mmm"),"")</f>
        <v/>
      </c>
      <c r="C426" s="68" t="str">
        <f aca="false">IF(A426&lt;&gt;"",YEAR(A426),"")</f>
        <v/>
      </c>
      <c r="D426" s="69"/>
      <c r="E426" s="69"/>
      <c r="F426" s="14"/>
    </row>
    <row r="427" customFormat="false" ht="16.5" hidden="false" customHeight="true" outlineLevel="0" collapsed="false">
      <c r="A427" s="70"/>
      <c r="B427" s="71" t="str">
        <f aca="false">IF(A427&lt;&gt;"",TEXT(A427,"mmm"),"")</f>
        <v/>
      </c>
      <c r="C427" s="71" t="str">
        <f aca="false">IF(A427&lt;&gt;"",YEAR(A427),"")</f>
        <v/>
      </c>
      <c r="D427" s="72"/>
      <c r="E427" s="72"/>
      <c r="F427" s="73"/>
    </row>
    <row r="428" customFormat="false" ht="16.5" hidden="false" customHeight="true" outlineLevel="0" collapsed="false">
      <c r="A428" s="67"/>
      <c r="B428" s="68" t="str">
        <f aca="false">IF(A428&lt;&gt;"",TEXT(A428,"mmm"),"")</f>
        <v/>
      </c>
      <c r="C428" s="68" t="str">
        <f aca="false">IF(A428&lt;&gt;"",YEAR(A428),"")</f>
        <v/>
      </c>
      <c r="D428" s="69"/>
      <c r="E428" s="69"/>
      <c r="F428" s="14"/>
    </row>
    <row r="429" customFormat="false" ht="16.5" hidden="false" customHeight="true" outlineLevel="0" collapsed="false">
      <c r="A429" s="70"/>
      <c r="B429" s="71" t="str">
        <f aca="false">IF(A429&lt;&gt;"",TEXT(A429,"mmm"),"")</f>
        <v/>
      </c>
      <c r="C429" s="71" t="str">
        <f aca="false">IF(A429&lt;&gt;"",YEAR(A429),"")</f>
        <v/>
      </c>
      <c r="D429" s="72"/>
      <c r="E429" s="72"/>
      <c r="F429" s="73"/>
    </row>
    <row r="430" customFormat="false" ht="16.5" hidden="false" customHeight="true" outlineLevel="0" collapsed="false">
      <c r="A430" s="67"/>
      <c r="B430" s="68" t="str">
        <f aca="false">IF(A430&lt;&gt;"",TEXT(A430,"mmm"),"")</f>
        <v/>
      </c>
      <c r="C430" s="68" t="str">
        <f aca="false">IF(A430&lt;&gt;"",YEAR(A430),"")</f>
        <v/>
      </c>
      <c r="D430" s="69"/>
      <c r="E430" s="69"/>
      <c r="F430" s="14"/>
    </row>
    <row r="431" customFormat="false" ht="16.5" hidden="false" customHeight="true" outlineLevel="0" collapsed="false">
      <c r="A431" s="70"/>
      <c r="B431" s="71" t="str">
        <f aca="false">IF(A431&lt;&gt;"",TEXT(A431,"mmm"),"")</f>
        <v/>
      </c>
      <c r="C431" s="71" t="str">
        <f aca="false">IF(A431&lt;&gt;"",YEAR(A431),"")</f>
        <v/>
      </c>
      <c r="D431" s="72"/>
      <c r="E431" s="72"/>
      <c r="F431" s="73"/>
    </row>
    <row r="432" customFormat="false" ht="16.5" hidden="false" customHeight="true" outlineLevel="0" collapsed="false">
      <c r="A432" s="67"/>
      <c r="B432" s="68" t="str">
        <f aca="false">IF(A432&lt;&gt;"",TEXT(A432,"mmm"),"")</f>
        <v/>
      </c>
      <c r="C432" s="68" t="str">
        <f aca="false">IF(A432&lt;&gt;"",YEAR(A432),"")</f>
        <v/>
      </c>
      <c r="D432" s="69"/>
      <c r="E432" s="69"/>
      <c r="F432" s="14"/>
    </row>
    <row r="433" customFormat="false" ht="16.5" hidden="false" customHeight="true" outlineLevel="0" collapsed="false">
      <c r="A433" s="70"/>
      <c r="B433" s="71" t="str">
        <f aca="false">IF(A433&lt;&gt;"",TEXT(A433,"mmm"),"")</f>
        <v/>
      </c>
      <c r="C433" s="71" t="str">
        <f aca="false">IF(A433&lt;&gt;"",YEAR(A433),"")</f>
        <v/>
      </c>
      <c r="D433" s="72"/>
      <c r="E433" s="72"/>
      <c r="F433" s="73"/>
    </row>
    <row r="434" customFormat="false" ht="16.5" hidden="false" customHeight="true" outlineLevel="0" collapsed="false">
      <c r="A434" s="67"/>
      <c r="B434" s="68" t="str">
        <f aca="false">IF(A434&lt;&gt;"",TEXT(A434,"mmm"),"")</f>
        <v/>
      </c>
      <c r="C434" s="68" t="str">
        <f aca="false">IF(A434&lt;&gt;"",YEAR(A434),"")</f>
        <v/>
      </c>
      <c r="D434" s="69"/>
      <c r="E434" s="69"/>
      <c r="F434" s="14"/>
    </row>
    <row r="435" customFormat="false" ht="16.5" hidden="false" customHeight="true" outlineLevel="0" collapsed="false">
      <c r="A435" s="70"/>
      <c r="B435" s="71" t="str">
        <f aca="false">IF(A435&lt;&gt;"",TEXT(A435,"mmm"),"")</f>
        <v/>
      </c>
      <c r="C435" s="71" t="str">
        <f aca="false">IF(A435&lt;&gt;"",YEAR(A435),"")</f>
        <v/>
      </c>
      <c r="D435" s="72"/>
      <c r="E435" s="72"/>
      <c r="F435" s="73"/>
    </row>
    <row r="436" customFormat="false" ht="16.5" hidden="false" customHeight="true" outlineLevel="0" collapsed="false">
      <c r="A436" s="67"/>
      <c r="B436" s="68" t="str">
        <f aca="false">IF(A436&lt;&gt;"",TEXT(A436,"mmm"),"")</f>
        <v/>
      </c>
      <c r="C436" s="68" t="str">
        <f aca="false">IF(A436&lt;&gt;"",YEAR(A436),"")</f>
        <v/>
      </c>
      <c r="D436" s="69"/>
      <c r="E436" s="69"/>
      <c r="F436" s="14"/>
    </row>
    <row r="437" customFormat="false" ht="16.5" hidden="false" customHeight="true" outlineLevel="0" collapsed="false">
      <c r="A437" s="70"/>
      <c r="B437" s="71" t="str">
        <f aca="false">IF(A437&lt;&gt;"",TEXT(A437,"mmm"),"")</f>
        <v/>
      </c>
      <c r="C437" s="71" t="str">
        <f aca="false">IF(A437&lt;&gt;"",YEAR(A437),"")</f>
        <v/>
      </c>
      <c r="D437" s="72"/>
      <c r="E437" s="72"/>
      <c r="F437" s="73"/>
    </row>
    <row r="438" customFormat="false" ht="16.5" hidden="false" customHeight="true" outlineLevel="0" collapsed="false">
      <c r="A438" s="67"/>
      <c r="B438" s="68" t="str">
        <f aca="false">IF(A438&lt;&gt;"",TEXT(A438,"mmm"),"")</f>
        <v/>
      </c>
      <c r="C438" s="68" t="str">
        <f aca="false">IF(A438&lt;&gt;"",YEAR(A438),"")</f>
        <v/>
      </c>
      <c r="D438" s="69"/>
      <c r="E438" s="69"/>
      <c r="F438" s="14"/>
    </row>
    <row r="439" customFormat="false" ht="16.5" hidden="false" customHeight="true" outlineLevel="0" collapsed="false">
      <c r="A439" s="70"/>
      <c r="B439" s="71" t="str">
        <f aca="false">IF(A439&lt;&gt;"",TEXT(A439,"mmm"),"")</f>
        <v/>
      </c>
      <c r="C439" s="71" t="str">
        <f aca="false">IF(A439&lt;&gt;"",YEAR(A439),"")</f>
        <v/>
      </c>
      <c r="D439" s="72"/>
      <c r="E439" s="72"/>
      <c r="F439" s="73"/>
    </row>
    <row r="440" customFormat="false" ht="16.5" hidden="false" customHeight="true" outlineLevel="0" collapsed="false">
      <c r="A440" s="67"/>
      <c r="B440" s="68" t="str">
        <f aca="false">IF(A440&lt;&gt;"",TEXT(A440,"mmm"),"")</f>
        <v/>
      </c>
      <c r="C440" s="68" t="str">
        <f aca="false">IF(A440&lt;&gt;"",YEAR(A440),"")</f>
        <v/>
      </c>
      <c r="D440" s="69"/>
      <c r="E440" s="69"/>
      <c r="F440" s="14"/>
    </row>
    <row r="441" customFormat="false" ht="16.5" hidden="false" customHeight="true" outlineLevel="0" collapsed="false">
      <c r="A441" s="70"/>
      <c r="B441" s="71" t="str">
        <f aca="false">IF(A441&lt;&gt;"",TEXT(A441,"mmm"),"")</f>
        <v/>
      </c>
      <c r="C441" s="71" t="str">
        <f aca="false">IF(A441&lt;&gt;"",YEAR(A441),"")</f>
        <v/>
      </c>
      <c r="D441" s="72"/>
      <c r="E441" s="72"/>
      <c r="F441" s="73"/>
    </row>
    <row r="442" customFormat="false" ht="16.5" hidden="false" customHeight="true" outlineLevel="0" collapsed="false">
      <c r="A442" s="67"/>
      <c r="B442" s="68" t="str">
        <f aca="false">IF(A442&lt;&gt;"",TEXT(A442,"mmm"),"")</f>
        <v/>
      </c>
      <c r="C442" s="68" t="str">
        <f aca="false">IF(A442&lt;&gt;"",YEAR(A442),"")</f>
        <v/>
      </c>
      <c r="D442" s="69"/>
      <c r="E442" s="69"/>
      <c r="F442" s="14"/>
    </row>
    <row r="443" customFormat="false" ht="16.5" hidden="false" customHeight="true" outlineLevel="0" collapsed="false">
      <c r="A443" s="70"/>
      <c r="B443" s="71" t="str">
        <f aca="false">IF(A443&lt;&gt;"",TEXT(A443,"mmm"),"")</f>
        <v/>
      </c>
      <c r="C443" s="71" t="str">
        <f aca="false">IF(A443&lt;&gt;"",YEAR(A443),"")</f>
        <v/>
      </c>
      <c r="D443" s="72"/>
      <c r="E443" s="72"/>
      <c r="F443" s="73"/>
    </row>
    <row r="444" customFormat="false" ht="16.5" hidden="false" customHeight="true" outlineLevel="0" collapsed="false">
      <c r="A444" s="67"/>
      <c r="B444" s="68" t="str">
        <f aca="false">IF(A444&lt;&gt;"",TEXT(A444,"mmm"),"")</f>
        <v/>
      </c>
      <c r="C444" s="68" t="str">
        <f aca="false">IF(A444&lt;&gt;"",YEAR(A444),"")</f>
        <v/>
      </c>
      <c r="D444" s="69"/>
      <c r="E444" s="69"/>
      <c r="F444" s="14"/>
    </row>
    <row r="445" customFormat="false" ht="16.5" hidden="false" customHeight="true" outlineLevel="0" collapsed="false">
      <c r="A445" s="70"/>
      <c r="B445" s="71" t="str">
        <f aca="false">IF(A445&lt;&gt;"",TEXT(A445,"mmm"),"")</f>
        <v/>
      </c>
      <c r="C445" s="71" t="str">
        <f aca="false">IF(A445&lt;&gt;"",YEAR(A445),"")</f>
        <v/>
      </c>
      <c r="D445" s="72"/>
      <c r="E445" s="72"/>
      <c r="F445" s="73"/>
    </row>
    <row r="446" customFormat="false" ht="16.5" hidden="false" customHeight="true" outlineLevel="0" collapsed="false">
      <c r="A446" s="67"/>
      <c r="B446" s="68" t="str">
        <f aca="false">IF(A446&lt;&gt;"",TEXT(A446,"mmm"),"")</f>
        <v/>
      </c>
      <c r="C446" s="68" t="str">
        <f aca="false">IF(A446&lt;&gt;"",YEAR(A446),"")</f>
        <v/>
      </c>
      <c r="D446" s="69"/>
      <c r="E446" s="69"/>
      <c r="F446" s="14"/>
    </row>
    <row r="447" customFormat="false" ht="16.5" hidden="false" customHeight="true" outlineLevel="0" collapsed="false">
      <c r="A447" s="70"/>
      <c r="B447" s="71" t="str">
        <f aca="false">IF(A447&lt;&gt;"",TEXT(A447,"mmm"),"")</f>
        <v/>
      </c>
      <c r="C447" s="71" t="str">
        <f aca="false">IF(A447&lt;&gt;"",YEAR(A447),"")</f>
        <v/>
      </c>
      <c r="D447" s="72"/>
      <c r="E447" s="72"/>
      <c r="F447" s="73"/>
    </row>
    <row r="448" customFormat="false" ht="16.5" hidden="false" customHeight="true" outlineLevel="0" collapsed="false">
      <c r="A448" s="67"/>
      <c r="B448" s="68" t="str">
        <f aca="false">IF(A448&lt;&gt;"",TEXT(A448,"mmm"),"")</f>
        <v/>
      </c>
      <c r="C448" s="68" t="str">
        <f aca="false">IF(A448&lt;&gt;"",YEAR(A448),"")</f>
        <v/>
      </c>
      <c r="D448" s="69"/>
      <c r="E448" s="69"/>
      <c r="F448" s="14"/>
    </row>
    <row r="449" customFormat="false" ht="16.5" hidden="false" customHeight="true" outlineLevel="0" collapsed="false">
      <c r="A449" s="70"/>
      <c r="B449" s="71" t="str">
        <f aca="false">IF(A449&lt;&gt;"",TEXT(A449,"mmm"),"")</f>
        <v/>
      </c>
      <c r="C449" s="71" t="str">
        <f aca="false">IF(A449&lt;&gt;"",YEAR(A449),"")</f>
        <v/>
      </c>
      <c r="D449" s="72"/>
      <c r="E449" s="72"/>
      <c r="F449" s="73"/>
    </row>
    <row r="450" customFormat="false" ht="16.5" hidden="false" customHeight="true" outlineLevel="0" collapsed="false">
      <c r="A450" s="67"/>
      <c r="B450" s="68" t="str">
        <f aca="false">IF(A450&lt;&gt;"",TEXT(A450,"mmm"),"")</f>
        <v/>
      </c>
      <c r="C450" s="68" t="str">
        <f aca="false">IF(A450&lt;&gt;"",YEAR(A450),"")</f>
        <v/>
      </c>
      <c r="D450" s="69"/>
      <c r="E450" s="69"/>
      <c r="F450" s="14"/>
    </row>
    <row r="451" customFormat="false" ht="16.5" hidden="false" customHeight="true" outlineLevel="0" collapsed="false">
      <c r="A451" s="70"/>
      <c r="B451" s="71" t="str">
        <f aca="false">IF(A451&lt;&gt;"",TEXT(A451,"mmm"),"")</f>
        <v/>
      </c>
      <c r="C451" s="71" t="str">
        <f aca="false">IF(A451&lt;&gt;"",YEAR(A451),"")</f>
        <v/>
      </c>
      <c r="D451" s="72"/>
      <c r="E451" s="72"/>
      <c r="F451" s="73"/>
    </row>
    <row r="452" customFormat="false" ht="16.5" hidden="false" customHeight="true" outlineLevel="0" collapsed="false">
      <c r="A452" s="67"/>
      <c r="B452" s="68" t="str">
        <f aca="false">IF(A452&lt;&gt;"",TEXT(A452,"mmm"),"")</f>
        <v/>
      </c>
      <c r="C452" s="68" t="str">
        <f aca="false">IF(A452&lt;&gt;"",YEAR(A452),"")</f>
        <v/>
      </c>
      <c r="D452" s="69"/>
      <c r="E452" s="69"/>
      <c r="F452" s="14"/>
    </row>
    <row r="453" customFormat="false" ht="16.5" hidden="false" customHeight="true" outlineLevel="0" collapsed="false">
      <c r="A453" s="70"/>
      <c r="B453" s="71" t="str">
        <f aca="false">IF(A453&lt;&gt;"",TEXT(A453,"mmm"),"")</f>
        <v/>
      </c>
      <c r="C453" s="71" t="str">
        <f aca="false">IF(A453&lt;&gt;"",YEAR(A453),"")</f>
        <v/>
      </c>
      <c r="D453" s="72"/>
      <c r="E453" s="72"/>
      <c r="F453" s="73"/>
    </row>
    <row r="454" customFormat="false" ht="16.5" hidden="false" customHeight="true" outlineLevel="0" collapsed="false">
      <c r="A454" s="67"/>
      <c r="B454" s="68" t="str">
        <f aca="false">IF(A454&lt;&gt;"",TEXT(A454,"mmm"),"")</f>
        <v/>
      </c>
      <c r="C454" s="68" t="str">
        <f aca="false">IF(A454&lt;&gt;"",YEAR(A454),"")</f>
        <v/>
      </c>
      <c r="D454" s="69"/>
      <c r="E454" s="69"/>
      <c r="F454" s="14"/>
    </row>
    <row r="455" customFormat="false" ht="16.5" hidden="false" customHeight="true" outlineLevel="0" collapsed="false">
      <c r="A455" s="70"/>
      <c r="B455" s="71" t="str">
        <f aca="false">IF(A455&lt;&gt;"",TEXT(A455,"mmm"),"")</f>
        <v/>
      </c>
      <c r="C455" s="71" t="str">
        <f aca="false">IF(A455&lt;&gt;"",YEAR(A455),"")</f>
        <v/>
      </c>
      <c r="D455" s="72"/>
      <c r="E455" s="72"/>
      <c r="F455" s="73"/>
    </row>
    <row r="456" customFormat="false" ht="16.5" hidden="false" customHeight="true" outlineLevel="0" collapsed="false">
      <c r="A456" s="67"/>
      <c r="B456" s="68" t="str">
        <f aca="false">IF(A456&lt;&gt;"",TEXT(A456,"mmm"),"")</f>
        <v/>
      </c>
      <c r="C456" s="68" t="str">
        <f aca="false">IF(A456&lt;&gt;"",YEAR(A456),"")</f>
        <v/>
      </c>
      <c r="D456" s="69"/>
      <c r="E456" s="69"/>
      <c r="F456" s="14"/>
    </row>
    <row r="457" customFormat="false" ht="16.5" hidden="false" customHeight="true" outlineLevel="0" collapsed="false">
      <c r="A457" s="70"/>
      <c r="B457" s="71" t="str">
        <f aca="false">IF(A457&lt;&gt;"",TEXT(A457,"mmm"),"")</f>
        <v/>
      </c>
      <c r="C457" s="71" t="str">
        <f aca="false">IF(A457&lt;&gt;"",YEAR(A457),"")</f>
        <v/>
      </c>
      <c r="D457" s="72"/>
      <c r="E457" s="72"/>
      <c r="F457" s="73"/>
    </row>
    <row r="458" customFormat="false" ht="16.5" hidden="false" customHeight="true" outlineLevel="0" collapsed="false">
      <c r="A458" s="67"/>
      <c r="B458" s="68" t="str">
        <f aca="false">IF(A458&lt;&gt;"",TEXT(A458,"mmm"),"")</f>
        <v/>
      </c>
      <c r="C458" s="68" t="str">
        <f aca="false">IF(A458&lt;&gt;"",YEAR(A458),"")</f>
        <v/>
      </c>
      <c r="D458" s="69"/>
      <c r="E458" s="69"/>
      <c r="F458" s="14"/>
    </row>
    <row r="459" customFormat="false" ht="16.5" hidden="false" customHeight="true" outlineLevel="0" collapsed="false">
      <c r="A459" s="70"/>
      <c r="B459" s="71" t="str">
        <f aca="false">IF(A459&lt;&gt;"",TEXT(A459,"mmm"),"")</f>
        <v/>
      </c>
      <c r="C459" s="71" t="str">
        <f aca="false">IF(A459&lt;&gt;"",YEAR(A459),"")</f>
        <v/>
      </c>
      <c r="D459" s="72"/>
      <c r="E459" s="72"/>
      <c r="F459" s="73"/>
    </row>
    <row r="460" customFormat="false" ht="16.5" hidden="false" customHeight="true" outlineLevel="0" collapsed="false">
      <c r="A460" s="67"/>
      <c r="B460" s="68" t="str">
        <f aca="false">IF(A460&lt;&gt;"",TEXT(A460,"mmm"),"")</f>
        <v/>
      </c>
      <c r="C460" s="68" t="str">
        <f aca="false">IF(A460&lt;&gt;"",YEAR(A460),"")</f>
        <v/>
      </c>
      <c r="D460" s="69"/>
      <c r="E460" s="69"/>
      <c r="F460" s="14"/>
    </row>
    <row r="461" customFormat="false" ht="16.5" hidden="false" customHeight="true" outlineLevel="0" collapsed="false">
      <c r="A461" s="70"/>
      <c r="B461" s="71" t="str">
        <f aca="false">IF(A461&lt;&gt;"",TEXT(A461,"mmm"),"")</f>
        <v/>
      </c>
      <c r="C461" s="71" t="str">
        <f aca="false">IF(A461&lt;&gt;"",YEAR(A461),"")</f>
        <v/>
      </c>
      <c r="D461" s="72"/>
      <c r="E461" s="72"/>
      <c r="F461" s="73"/>
    </row>
    <row r="462" customFormat="false" ht="16.5" hidden="false" customHeight="true" outlineLevel="0" collapsed="false">
      <c r="A462" s="67"/>
      <c r="B462" s="68" t="str">
        <f aca="false">IF(A462&lt;&gt;"",TEXT(A462,"mmm"),"")</f>
        <v/>
      </c>
      <c r="C462" s="68" t="str">
        <f aca="false">IF(A462&lt;&gt;"",YEAR(A462),"")</f>
        <v/>
      </c>
      <c r="D462" s="69"/>
      <c r="E462" s="69"/>
      <c r="F462" s="14"/>
    </row>
    <row r="463" customFormat="false" ht="16.5" hidden="false" customHeight="true" outlineLevel="0" collapsed="false">
      <c r="A463" s="70"/>
      <c r="B463" s="71" t="str">
        <f aca="false">IF(A463&lt;&gt;"",TEXT(A463,"mmm"),"")</f>
        <v/>
      </c>
      <c r="C463" s="71" t="str">
        <f aca="false">IF(A463&lt;&gt;"",YEAR(A463),"")</f>
        <v/>
      </c>
      <c r="D463" s="72"/>
      <c r="E463" s="72"/>
      <c r="F463" s="73"/>
    </row>
    <row r="464" customFormat="false" ht="16.5" hidden="false" customHeight="true" outlineLevel="0" collapsed="false">
      <c r="A464" s="67"/>
      <c r="B464" s="68" t="str">
        <f aca="false">IF(A464&lt;&gt;"",TEXT(A464,"mmm"),"")</f>
        <v/>
      </c>
      <c r="C464" s="68" t="str">
        <f aca="false">IF(A464&lt;&gt;"",YEAR(A464),"")</f>
        <v/>
      </c>
      <c r="D464" s="69"/>
      <c r="E464" s="69"/>
      <c r="F464" s="14"/>
    </row>
    <row r="465" customFormat="false" ht="16.5" hidden="false" customHeight="true" outlineLevel="0" collapsed="false">
      <c r="A465" s="70"/>
      <c r="B465" s="71" t="str">
        <f aca="false">IF(A465&lt;&gt;"",TEXT(A465,"mmm"),"")</f>
        <v/>
      </c>
      <c r="C465" s="71" t="str">
        <f aca="false">IF(A465&lt;&gt;"",YEAR(A465),"")</f>
        <v/>
      </c>
      <c r="D465" s="72"/>
      <c r="E465" s="72"/>
      <c r="F465" s="73"/>
    </row>
    <row r="466" customFormat="false" ht="16.5" hidden="false" customHeight="true" outlineLevel="0" collapsed="false">
      <c r="A466" s="67"/>
      <c r="B466" s="68" t="str">
        <f aca="false">IF(A466&lt;&gt;"",TEXT(A466,"mmm"),"")</f>
        <v/>
      </c>
      <c r="C466" s="68" t="str">
        <f aca="false">IF(A466&lt;&gt;"",YEAR(A466),"")</f>
        <v/>
      </c>
      <c r="D466" s="69"/>
      <c r="E466" s="69"/>
      <c r="F466" s="14"/>
    </row>
    <row r="467" customFormat="false" ht="16.5" hidden="false" customHeight="true" outlineLevel="0" collapsed="false">
      <c r="A467" s="70"/>
      <c r="B467" s="71" t="str">
        <f aca="false">IF(A467&lt;&gt;"",TEXT(A467,"mmm"),"")</f>
        <v/>
      </c>
      <c r="C467" s="71" t="str">
        <f aca="false">IF(A467&lt;&gt;"",YEAR(A467),"")</f>
        <v/>
      </c>
      <c r="D467" s="72"/>
      <c r="E467" s="72"/>
      <c r="F467" s="73"/>
    </row>
    <row r="468" customFormat="false" ht="16.5" hidden="false" customHeight="true" outlineLevel="0" collapsed="false">
      <c r="A468" s="67"/>
      <c r="B468" s="68" t="str">
        <f aca="false">IF(A468&lt;&gt;"",TEXT(A468,"mmm"),"")</f>
        <v/>
      </c>
      <c r="C468" s="68" t="str">
        <f aca="false">IF(A468&lt;&gt;"",YEAR(A468),"")</f>
        <v/>
      </c>
      <c r="D468" s="69"/>
      <c r="E468" s="69"/>
      <c r="F468" s="14"/>
    </row>
    <row r="469" customFormat="false" ht="16.5" hidden="false" customHeight="true" outlineLevel="0" collapsed="false">
      <c r="A469" s="70"/>
      <c r="B469" s="71" t="str">
        <f aca="false">IF(A469&lt;&gt;"",TEXT(A469,"mmm"),"")</f>
        <v/>
      </c>
      <c r="C469" s="71" t="str">
        <f aca="false">IF(A469&lt;&gt;"",YEAR(A469),"")</f>
        <v/>
      </c>
      <c r="D469" s="72"/>
      <c r="E469" s="72"/>
      <c r="F469" s="73"/>
    </row>
    <row r="470" customFormat="false" ht="16.5" hidden="false" customHeight="true" outlineLevel="0" collapsed="false">
      <c r="A470" s="67"/>
      <c r="B470" s="68" t="str">
        <f aca="false">IF(A470&lt;&gt;"",TEXT(A470,"mmm"),"")</f>
        <v/>
      </c>
      <c r="C470" s="68" t="str">
        <f aca="false">IF(A470&lt;&gt;"",YEAR(A470),"")</f>
        <v/>
      </c>
      <c r="D470" s="69"/>
      <c r="E470" s="69"/>
      <c r="F470" s="14"/>
    </row>
    <row r="471" customFormat="false" ht="16.5" hidden="false" customHeight="true" outlineLevel="0" collapsed="false">
      <c r="A471" s="70"/>
      <c r="B471" s="71" t="str">
        <f aca="false">IF(A471&lt;&gt;"",TEXT(A471,"mmm"),"")</f>
        <v/>
      </c>
      <c r="C471" s="71" t="str">
        <f aca="false">IF(A471&lt;&gt;"",YEAR(A471),"")</f>
        <v/>
      </c>
      <c r="D471" s="72"/>
      <c r="E471" s="72"/>
      <c r="F471" s="73"/>
    </row>
    <row r="472" customFormat="false" ht="16.5" hidden="false" customHeight="true" outlineLevel="0" collapsed="false">
      <c r="A472" s="67"/>
      <c r="B472" s="68" t="str">
        <f aca="false">IF(A472&lt;&gt;"",TEXT(A472,"mmm"),"")</f>
        <v/>
      </c>
      <c r="C472" s="68" t="str">
        <f aca="false">IF(A472&lt;&gt;"",YEAR(A472),"")</f>
        <v/>
      </c>
      <c r="D472" s="69"/>
      <c r="E472" s="69"/>
      <c r="F472" s="14"/>
    </row>
    <row r="473" customFormat="false" ht="16.5" hidden="false" customHeight="true" outlineLevel="0" collapsed="false">
      <c r="A473" s="70"/>
      <c r="B473" s="71" t="str">
        <f aca="false">IF(A473&lt;&gt;"",TEXT(A473,"mmm"),"")</f>
        <v/>
      </c>
      <c r="C473" s="71" t="str">
        <f aca="false">IF(A473&lt;&gt;"",YEAR(A473),"")</f>
        <v/>
      </c>
      <c r="D473" s="72"/>
      <c r="E473" s="72"/>
      <c r="F473" s="73"/>
    </row>
    <row r="474" customFormat="false" ht="16.5" hidden="false" customHeight="true" outlineLevel="0" collapsed="false">
      <c r="A474" s="67"/>
      <c r="B474" s="68" t="str">
        <f aca="false">IF(A474&lt;&gt;"",TEXT(A474,"mmm"),"")</f>
        <v/>
      </c>
      <c r="C474" s="68" t="str">
        <f aca="false">IF(A474&lt;&gt;"",YEAR(A474),"")</f>
        <v/>
      </c>
      <c r="D474" s="69"/>
      <c r="E474" s="69"/>
      <c r="F474" s="14"/>
    </row>
    <row r="475" customFormat="false" ht="16.5" hidden="false" customHeight="true" outlineLevel="0" collapsed="false">
      <c r="A475" s="70"/>
      <c r="B475" s="71" t="str">
        <f aca="false">IF(A475&lt;&gt;"",TEXT(A475,"mmm"),"")</f>
        <v/>
      </c>
      <c r="C475" s="71" t="str">
        <f aca="false">IF(A475&lt;&gt;"",YEAR(A475),"")</f>
        <v/>
      </c>
      <c r="D475" s="72"/>
      <c r="E475" s="72"/>
      <c r="F475" s="73"/>
    </row>
    <row r="476" customFormat="false" ht="16.5" hidden="false" customHeight="true" outlineLevel="0" collapsed="false">
      <c r="A476" s="67"/>
      <c r="B476" s="68" t="str">
        <f aca="false">IF(A476&lt;&gt;"",TEXT(A476,"mmm"),"")</f>
        <v/>
      </c>
      <c r="C476" s="68" t="str">
        <f aca="false">IF(A476&lt;&gt;"",YEAR(A476),"")</f>
        <v/>
      </c>
      <c r="D476" s="69"/>
      <c r="E476" s="69"/>
      <c r="F476" s="14"/>
    </row>
    <row r="477" customFormat="false" ht="16.5" hidden="false" customHeight="true" outlineLevel="0" collapsed="false">
      <c r="A477" s="70"/>
      <c r="B477" s="71" t="str">
        <f aca="false">IF(A477&lt;&gt;"",TEXT(A477,"mmm"),"")</f>
        <v/>
      </c>
      <c r="C477" s="71" t="str">
        <f aca="false">IF(A477&lt;&gt;"",YEAR(A477),"")</f>
        <v/>
      </c>
      <c r="D477" s="72"/>
      <c r="E477" s="72"/>
      <c r="F477" s="73"/>
    </row>
    <row r="478" customFormat="false" ht="16.5" hidden="false" customHeight="true" outlineLevel="0" collapsed="false">
      <c r="A478" s="67"/>
      <c r="B478" s="68" t="str">
        <f aca="false">IF(A478&lt;&gt;"",TEXT(A478,"mmm"),"")</f>
        <v/>
      </c>
      <c r="C478" s="68" t="str">
        <f aca="false">IF(A478&lt;&gt;"",YEAR(A478),"")</f>
        <v/>
      </c>
      <c r="D478" s="69"/>
      <c r="E478" s="69"/>
      <c r="F478" s="14"/>
    </row>
    <row r="479" customFormat="false" ht="16.5" hidden="false" customHeight="true" outlineLevel="0" collapsed="false">
      <c r="A479" s="70"/>
      <c r="B479" s="71" t="str">
        <f aca="false">IF(A479&lt;&gt;"",TEXT(A479,"mmm"),"")</f>
        <v/>
      </c>
      <c r="C479" s="71" t="str">
        <f aca="false">IF(A479&lt;&gt;"",YEAR(A479),"")</f>
        <v/>
      </c>
      <c r="D479" s="72"/>
      <c r="E479" s="72"/>
      <c r="F479" s="73"/>
    </row>
    <row r="480" customFormat="false" ht="16.5" hidden="false" customHeight="true" outlineLevel="0" collapsed="false">
      <c r="A480" s="67"/>
      <c r="B480" s="68" t="str">
        <f aca="false">IF(A480&lt;&gt;"",TEXT(A480,"mmm"),"")</f>
        <v/>
      </c>
      <c r="C480" s="68" t="str">
        <f aca="false">IF(A480&lt;&gt;"",YEAR(A480),"")</f>
        <v/>
      </c>
      <c r="D480" s="69"/>
      <c r="E480" s="69"/>
      <c r="F480" s="14"/>
    </row>
    <row r="481" customFormat="false" ht="16.5" hidden="false" customHeight="true" outlineLevel="0" collapsed="false">
      <c r="A481" s="70"/>
      <c r="B481" s="71" t="str">
        <f aca="false">IF(A481&lt;&gt;"",TEXT(A481,"mmm"),"")</f>
        <v/>
      </c>
      <c r="C481" s="71" t="str">
        <f aca="false">IF(A481&lt;&gt;"",YEAR(A481),"")</f>
        <v/>
      </c>
      <c r="D481" s="72"/>
      <c r="E481" s="72"/>
      <c r="F481" s="73"/>
    </row>
    <row r="482" customFormat="false" ht="16.5" hidden="false" customHeight="true" outlineLevel="0" collapsed="false">
      <c r="A482" s="67"/>
      <c r="B482" s="68" t="str">
        <f aca="false">IF(A482&lt;&gt;"",TEXT(A482,"mmm"),"")</f>
        <v/>
      </c>
      <c r="C482" s="68" t="str">
        <f aca="false">IF(A482&lt;&gt;"",YEAR(A482),"")</f>
        <v/>
      </c>
      <c r="D482" s="69"/>
      <c r="E482" s="69"/>
      <c r="F482" s="14"/>
    </row>
    <row r="483" customFormat="false" ht="16.5" hidden="false" customHeight="true" outlineLevel="0" collapsed="false">
      <c r="A483" s="70"/>
      <c r="B483" s="71" t="str">
        <f aca="false">IF(A483&lt;&gt;"",TEXT(A483,"mmm"),"")</f>
        <v/>
      </c>
      <c r="C483" s="71" t="str">
        <f aca="false">IF(A483&lt;&gt;"",YEAR(A483),"")</f>
        <v/>
      </c>
      <c r="D483" s="72"/>
      <c r="E483" s="72"/>
      <c r="F483" s="73"/>
    </row>
    <row r="484" customFormat="false" ht="16.5" hidden="false" customHeight="true" outlineLevel="0" collapsed="false">
      <c r="A484" s="67"/>
      <c r="B484" s="68" t="str">
        <f aca="false">IF(A484&lt;&gt;"",TEXT(A484,"mmm"),"")</f>
        <v/>
      </c>
      <c r="C484" s="68" t="str">
        <f aca="false">IF(A484&lt;&gt;"",YEAR(A484),"")</f>
        <v/>
      </c>
      <c r="D484" s="69"/>
      <c r="E484" s="69"/>
      <c r="F484" s="14"/>
    </row>
    <row r="485" customFormat="false" ht="16.5" hidden="false" customHeight="true" outlineLevel="0" collapsed="false">
      <c r="A485" s="70"/>
      <c r="B485" s="71" t="str">
        <f aca="false">IF(A485&lt;&gt;"",TEXT(A485,"mmm"),"")</f>
        <v/>
      </c>
      <c r="C485" s="71" t="str">
        <f aca="false">IF(A485&lt;&gt;"",YEAR(A485),"")</f>
        <v/>
      </c>
      <c r="D485" s="72"/>
      <c r="E485" s="72"/>
      <c r="F485" s="73"/>
    </row>
    <row r="486" customFormat="false" ht="16.5" hidden="false" customHeight="true" outlineLevel="0" collapsed="false">
      <c r="A486" s="67"/>
      <c r="B486" s="68" t="str">
        <f aca="false">IF(A486&lt;&gt;"",TEXT(A486,"mmm"),"")</f>
        <v/>
      </c>
      <c r="C486" s="68" t="str">
        <f aca="false">IF(A486&lt;&gt;"",YEAR(A486),"")</f>
        <v/>
      </c>
      <c r="D486" s="69"/>
      <c r="E486" s="69"/>
      <c r="F486" s="14"/>
    </row>
    <row r="487" customFormat="false" ht="16.5" hidden="false" customHeight="true" outlineLevel="0" collapsed="false">
      <c r="A487" s="70"/>
      <c r="B487" s="71" t="str">
        <f aca="false">IF(A487&lt;&gt;"",TEXT(A487,"mmm"),"")</f>
        <v/>
      </c>
      <c r="C487" s="71" t="str">
        <f aca="false">IF(A487&lt;&gt;"",YEAR(A487),"")</f>
        <v/>
      </c>
      <c r="D487" s="72"/>
      <c r="E487" s="72"/>
      <c r="F487" s="73"/>
    </row>
    <row r="488" customFormat="false" ht="16.5" hidden="false" customHeight="true" outlineLevel="0" collapsed="false">
      <c r="A488" s="67"/>
      <c r="B488" s="68" t="str">
        <f aca="false">IF(A488&lt;&gt;"",TEXT(A488,"mmm"),"")</f>
        <v/>
      </c>
      <c r="C488" s="68" t="str">
        <f aca="false">IF(A488&lt;&gt;"",YEAR(A488),"")</f>
        <v/>
      </c>
      <c r="D488" s="69"/>
      <c r="E488" s="69"/>
      <c r="F488" s="14"/>
    </row>
    <row r="489" customFormat="false" ht="16.5" hidden="false" customHeight="true" outlineLevel="0" collapsed="false">
      <c r="A489" s="70"/>
      <c r="B489" s="71" t="str">
        <f aca="false">IF(A489&lt;&gt;"",TEXT(A489,"mmm"),"")</f>
        <v/>
      </c>
      <c r="C489" s="71" t="str">
        <f aca="false">IF(A489&lt;&gt;"",YEAR(A489),"")</f>
        <v/>
      </c>
      <c r="D489" s="72"/>
      <c r="E489" s="72"/>
      <c r="F489" s="73"/>
    </row>
    <row r="490" customFormat="false" ht="16.5" hidden="false" customHeight="true" outlineLevel="0" collapsed="false">
      <c r="A490" s="67"/>
      <c r="B490" s="68" t="str">
        <f aca="false">IF(A490&lt;&gt;"",TEXT(A490,"mmm"),"")</f>
        <v/>
      </c>
      <c r="C490" s="68" t="str">
        <f aca="false">IF(A490&lt;&gt;"",YEAR(A490),"")</f>
        <v/>
      </c>
      <c r="D490" s="69"/>
      <c r="E490" s="69"/>
      <c r="F490" s="14"/>
    </row>
    <row r="491" customFormat="false" ht="16.5" hidden="false" customHeight="true" outlineLevel="0" collapsed="false">
      <c r="A491" s="70"/>
      <c r="B491" s="71" t="str">
        <f aca="false">IF(A491&lt;&gt;"",TEXT(A491,"mmm"),"")</f>
        <v/>
      </c>
      <c r="C491" s="71" t="str">
        <f aca="false">IF(A491&lt;&gt;"",YEAR(A491),"")</f>
        <v/>
      </c>
      <c r="D491" s="72"/>
      <c r="E491" s="72"/>
      <c r="F491" s="73"/>
    </row>
    <row r="492" customFormat="false" ht="16.5" hidden="false" customHeight="true" outlineLevel="0" collapsed="false">
      <c r="A492" s="67"/>
      <c r="B492" s="68" t="str">
        <f aca="false">IF(A492&lt;&gt;"",TEXT(A492,"mmm"),"")</f>
        <v/>
      </c>
      <c r="C492" s="68" t="str">
        <f aca="false">IF(A492&lt;&gt;"",YEAR(A492),"")</f>
        <v/>
      </c>
      <c r="D492" s="69"/>
      <c r="E492" s="69"/>
      <c r="F492" s="14"/>
    </row>
    <row r="493" customFormat="false" ht="16.5" hidden="false" customHeight="true" outlineLevel="0" collapsed="false">
      <c r="A493" s="70"/>
      <c r="B493" s="71" t="str">
        <f aca="false">IF(A493&lt;&gt;"",TEXT(A493,"mmm"),"")</f>
        <v/>
      </c>
      <c r="C493" s="71" t="str">
        <f aca="false">IF(A493&lt;&gt;"",YEAR(A493),"")</f>
        <v/>
      </c>
      <c r="D493" s="72"/>
      <c r="E493" s="72"/>
      <c r="F493" s="73"/>
    </row>
    <row r="494" customFormat="false" ht="16.5" hidden="false" customHeight="true" outlineLevel="0" collapsed="false">
      <c r="A494" s="67"/>
      <c r="B494" s="68" t="str">
        <f aca="false">IF(A494&lt;&gt;"",TEXT(A494,"mmm"),"")</f>
        <v/>
      </c>
      <c r="C494" s="68" t="str">
        <f aca="false">IF(A494&lt;&gt;"",YEAR(A494),"")</f>
        <v/>
      </c>
      <c r="D494" s="69"/>
      <c r="E494" s="69"/>
      <c r="F494" s="14"/>
    </row>
    <row r="495" customFormat="false" ht="16.5" hidden="false" customHeight="true" outlineLevel="0" collapsed="false">
      <c r="A495" s="70"/>
      <c r="B495" s="71" t="str">
        <f aca="false">IF(A495&lt;&gt;"",TEXT(A495,"mmm"),"")</f>
        <v/>
      </c>
      <c r="C495" s="71" t="str">
        <f aca="false">IF(A495&lt;&gt;"",YEAR(A495),"")</f>
        <v/>
      </c>
      <c r="D495" s="72"/>
      <c r="E495" s="72"/>
      <c r="F495" s="73"/>
    </row>
    <row r="496" customFormat="false" ht="16.5" hidden="false" customHeight="true" outlineLevel="0" collapsed="false">
      <c r="A496" s="67"/>
      <c r="B496" s="68" t="str">
        <f aca="false">IF(A496&lt;&gt;"",TEXT(A496,"mmm"),"")</f>
        <v/>
      </c>
      <c r="C496" s="68" t="str">
        <f aca="false">IF(A496&lt;&gt;"",YEAR(A496),"")</f>
        <v/>
      </c>
      <c r="D496" s="69"/>
      <c r="E496" s="69"/>
      <c r="F496" s="14"/>
    </row>
    <row r="497" customFormat="false" ht="16.5" hidden="false" customHeight="true" outlineLevel="0" collapsed="false">
      <c r="A497" s="70"/>
      <c r="B497" s="71" t="str">
        <f aca="false">IF(A497&lt;&gt;"",TEXT(A497,"mmm"),"")</f>
        <v/>
      </c>
      <c r="C497" s="71" t="str">
        <f aca="false">IF(A497&lt;&gt;"",YEAR(A497),"")</f>
        <v/>
      </c>
      <c r="D497" s="72"/>
      <c r="E497" s="72"/>
      <c r="F497" s="73"/>
    </row>
    <row r="498" customFormat="false" ht="16.5" hidden="false" customHeight="true" outlineLevel="0" collapsed="false">
      <c r="A498" s="67"/>
      <c r="B498" s="68" t="str">
        <f aca="false">IF(A498&lt;&gt;"",TEXT(A498,"mmm"),"")</f>
        <v/>
      </c>
      <c r="C498" s="68" t="str">
        <f aca="false">IF(A498&lt;&gt;"",YEAR(A498),"")</f>
        <v/>
      </c>
      <c r="D498" s="69"/>
      <c r="E498" s="69"/>
      <c r="F498" s="14"/>
    </row>
    <row r="499" customFormat="false" ht="16.5" hidden="false" customHeight="true" outlineLevel="0" collapsed="false">
      <c r="A499" s="70"/>
      <c r="B499" s="71" t="str">
        <f aca="false">IF(A499&lt;&gt;"",TEXT(A499,"mmm"),"")</f>
        <v/>
      </c>
      <c r="C499" s="71" t="str">
        <f aca="false">IF(A499&lt;&gt;"",YEAR(A499),"")</f>
        <v/>
      </c>
      <c r="D499" s="72"/>
      <c r="E499" s="72"/>
      <c r="F499" s="73"/>
    </row>
    <row r="500" customFormat="false" ht="16.5" hidden="false" customHeight="true" outlineLevel="0" collapsed="false">
      <c r="A500" s="67"/>
      <c r="B500" s="68" t="str">
        <f aca="false">IF(A500&lt;&gt;"",TEXT(A500,"mmm"),"")</f>
        <v/>
      </c>
      <c r="C500" s="68" t="str">
        <f aca="false">IF(A500&lt;&gt;"",YEAR(A500),"")</f>
        <v/>
      </c>
      <c r="D500" s="69"/>
      <c r="E500" s="69"/>
      <c r="F500" s="14"/>
    </row>
    <row r="501" customFormat="false" ht="16.5" hidden="false" customHeight="true" outlineLevel="0" collapsed="false">
      <c r="A501" s="70"/>
      <c r="B501" s="71" t="str">
        <f aca="false">IF(A501&lt;&gt;"",TEXT(A501,"mmm"),"")</f>
        <v/>
      </c>
      <c r="C501" s="71" t="str">
        <f aca="false">IF(A501&lt;&gt;"",YEAR(A501),"")</f>
        <v/>
      </c>
      <c r="D501" s="72"/>
      <c r="E501" s="72"/>
      <c r="F501" s="73"/>
    </row>
    <row r="502" customFormat="false" ht="16.5" hidden="false" customHeight="true" outlineLevel="0" collapsed="false">
      <c r="A502" s="67"/>
      <c r="B502" s="68" t="str">
        <f aca="false">IF(A502&lt;&gt;"",TEXT(A502,"mmm"),"")</f>
        <v/>
      </c>
      <c r="C502" s="68" t="str">
        <f aca="false">IF(A502&lt;&gt;"",YEAR(A502),"")</f>
        <v/>
      </c>
      <c r="D502" s="69"/>
      <c r="E502" s="69"/>
      <c r="F502" s="14"/>
    </row>
  </sheetData>
  <mergeCells count="1">
    <mergeCell ref="A1:F1"/>
  </mergeCells>
  <dataValidations count="1">
    <dataValidation allowBlank="true" error="Please select a valid category from the list." errorStyle="stop" errorTitle="Invalid category" operator="between" showDropDown="false" showErrorMessage="true" showInputMessage="false" sqref="D3:D502" type="list">
      <formula1>"House Contribution,Credit Union,Gym,Travel,Food &amp; Dining,Phone &amp; Data,Personal Care,Entertainment,Clothing &amp; Shopping,Emergency Fund,Goals Fund,Other"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7DD"/>
    <pageSetUpPr fitToPage="false"/>
  </sheetPr>
  <dimension ref="A1:Q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14" min="3" style="0" width="9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12"/>
  </cols>
  <sheetData>
    <row r="1" customFormat="false" ht="31.5" hidden="false" customHeight="tru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6" hidden="false" customHeight="true" outlineLevel="0" collapsed="false"/>
    <row r="3" customFormat="false" ht="18" hidden="false" customHeight="true" outlineLevel="0" collapsed="false">
      <c r="A3" s="74" t="s">
        <v>3</v>
      </c>
      <c r="B3" s="75" t="s">
        <v>55</v>
      </c>
      <c r="C3" s="76" t="s">
        <v>56</v>
      </c>
      <c r="D3" s="76" t="s">
        <v>57</v>
      </c>
      <c r="E3" s="76" t="s">
        <v>58</v>
      </c>
      <c r="F3" s="76" t="s">
        <v>59</v>
      </c>
      <c r="G3" s="76" t="s">
        <v>60</v>
      </c>
      <c r="H3" s="76" t="s">
        <v>61</v>
      </c>
      <c r="I3" s="76" t="s">
        <v>62</v>
      </c>
      <c r="J3" s="76" t="s">
        <v>63</v>
      </c>
      <c r="K3" s="76" t="s">
        <v>64</v>
      </c>
      <c r="L3" s="76" t="s">
        <v>65</v>
      </c>
      <c r="M3" s="76" t="s">
        <v>66</v>
      </c>
      <c r="N3" s="76" t="s">
        <v>67</v>
      </c>
      <c r="O3" s="77" t="s">
        <v>68</v>
      </c>
      <c r="P3" s="77" t="s">
        <v>69</v>
      </c>
      <c r="Q3" s="77" t="s">
        <v>70</v>
      </c>
    </row>
    <row r="4" customFormat="false" ht="16.5" hidden="false" customHeight="true" outlineLevel="0" collapsed="false">
      <c r="A4" s="9" t="s">
        <v>8</v>
      </c>
      <c r="B4" s="78" t="n">
        <f aca="false">Budget!$B$6</f>
        <v>1000</v>
      </c>
      <c r="C4" s="78" t="n">
        <f aca="false">IFERROR(SUMIFS(Log!$F:$F,Log!$D:$D,$A4,Log!$B:$B,"Jan",Log!$C:$C,2026),0)</f>
        <v>0</v>
      </c>
      <c r="D4" s="78" t="n">
        <f aca="false">IFERROR(SUMIFS(Log!$F:$F,Log!$D:$D,$A4,Log!$B:$B,"Feb",Log!$C:$C,2026),0)</f>
        <v>0</v>
      </c>
      <c r="E4" s="78" t="n">
        <f aca="false">IFERROR(SUMIFS(Log!$F:$F,Log!$D:$D,$A4,Log!$B:$B,"Mar",Log!$C:$C,2026),0)</f>
        <v>0</v>
      </c>
      <c r="F4" s="78" t="n">
        <f aca="false">IFERROR(SUMIFS(Log!$F:$F,Log!$D:$D,$A4,Log!$B:$B,"Apr",Log!$C:$C,2026),0)</f>
        <v>0</v>
      </c>
      <c r="G4" s="78" t="n">
        <f aca="false">IFERROR(SUMIFS(Log!$F:$F,Log!$D:$D,$A4,Log!$B:$B,"May",Log!$C:$C,2026),0)</f>
        <v>0</v>
      </c>
      <c r="H4" s="78" t="n">
        <f aca="false">IFERROR(SUMIFS(Log!$F:$F,Log!$D:$D,$A4,Log!$B:$B,"Jun",Log!$C:$C,2026),0)</f>
        <v>0</v>
      </c>
      <c r="I4" s="78" t="n">
        <f aca="false">IFERROR(SUMIFS(Log!$F:$F,Log!$D:$D,$A4,Log!$B:$B,"Jul",Log!$C:$C,2026),0)</f>
        <v>0</v>
      </c>
      <c r="J4" s="78" t="n">
        <f aca="false">IFERROR(SUMIFS(Log!$F:$F,Log!$D:$D,$A4,Log!$B:$B,"Aug",Log!$C:$C,2026),0)</f>
        <v>0</v>
      </c>
      <c r="K4" s="78" t="n">
        <f aca="false">IFERROR(SUMIFS(Log!$F:$F,Log!$D:$D,$A4,Log!$B:$B,"Sep",Log!$C:$C,2026),0)</f>
        <v>0</v>
      </c>
      <c r="L4" s="78" t="n">
        <f aca="false">IFERROR(SUMIFS(Log!$F:$F,Log!$D:$D,$A4,Log!$B:$B,"Oct",Log!$C:$C,2026),0)</f>
        <v>0</v>
      </c>
      <c r="M4" s="78" t="n">
        <f aca="false">IFERROR(SUMIFS(Log!$F:$F,Log!$D:$D,$A4,Log!$B:$B,"Nov",Log!$C:$C,2026),0)</f>
        <v>0</v>
      </c>
      <c r="N4" s="78" t="n">
        <f aca="false">IFERROR(SUMIFS(Log!$F:$F,Log!$D:$D,$A4,Log!$B:$B,"Dec",Log!$C:$C,2026),0)</f>
        <v>0</v>
      </c>
      <c r="O4" s="58" t="n">
        <f aca="false">SUM(C4:N4)</f>
        <v>0</v>
      </c>
      <c r="P4" s="78" t="n">
        <f aca="false">$B4*12</f>
        <v>12000</v>
      </c>
      <c r="Q4" s="79" t="n">
        <f aca="false">P4-O4</f>
        <v>12000</v>
      </c>
    </row>
    <row r="5" customFormat="false" ht="16.5" hidden="false" customHeight="true" outlineLevel="0" collapsed="false">
      <c r="A5" s="9" t="s">
        <v>10</v>
      </c>
      <c r="B5" s="78" t="n">
        <f aca="false">Budget!$B$7</f>
        <v>2000</v>
      </c>
      <c r="C5" s="59" t="n">
        <f aca="false">IFERROR(SUMIFS(Log!$F:$F,Log!$D:$D,$A5,Log!$B:$B,"Jan",Log!$C:$C,2026),0)</f>
        <v>0</v>
      </c>
      <c r="D5" s="59" t="n">
        <f aca="false">IFERROR(SUMIFS(Log!$F:$F,Log!$D:$D,$A5,Log!$B:$B,"Feb",Log!$C:$C,2026),0)</f>
        <v>0</v>
      </c>
      <c r="E5" s="59" t="n">
        <f aca="false">IFERROR(SUMIFS(Log!$F:$F,Log!$D:$D,$A5,Log!$B:$B,"Mar",Log!$C:$C,2026),0)</f>
        <v>0</v>
      </c>
      <c r="F5" s="59" t="n">
        <f aca="false">IFERROR(SUMIFS(Log!$F:$F,Log!$D:$D,$A5,Log!$B:$B,"Apr",Log!$C:$C,2026),0)</f>
        <v>0</v>
      </c>
      <c r="G5" s="59" t="n">
        <f aca="false">IFERROR(SUMIFS(Log!$F:$F,Log!$D:$D,$A5,Log!$B:$B,"May",Log!$C:$C,2026),0)</f>
        <v>0</v>
      </c>
      <c r="H5" s="59" t="n">
        <f aca="false">IFERROR(SUMIFS(Log!$F:$F,Log!$D:$D,$A5,Log!$B:$B,"Jun",Log!$C:$C,2026),0)</f>
        <v>2000</v>
      </c>
      <c r="I5" s="59" t="n">
        <f aca="false">IFERROR(SUMIFS(Log!$F:$F,Log!$D:$D,$A5,Log!$B:$B,"Jul",Log!$C:$C,2026),0)</f>
        <v>0</v>
      </c>
      <c r="J5" s="59" t="n">
        <f aca="false">IFERROR(SUMIFS(Log!$F:$F,Log!$D:$D,$A5,Log!$B:$B,"Aug",Log!$C:$C,2026),0)</f>
        <v>0</v>
      </c>
      <c r="K5" s="59" t="n">
        <f aca="false">IFERROR(SUMIFS(Log!$F:$F,Log!$D:$D,$A5,Log!$B:$B,"Sep",Log!$C:$C,2026),0)</f>
        <v>0</v>
      </c>
      <c r="L5" s="59" t="n">
        <f aca="false">IFERROR(SUMIFS(Log!$F:$F,Log!$D:$D,$A5,Log!$B:$B,"Oct",Log!$C:$C,2026),0)</f>
        <v>0</v>
      </c>
      <c r="M5" s="59" t="n">
        <f aca="false">IFERROR(SUMIFS(Log!$F:$F,Log!$D:$D,$A5,Log!$B:$B,"Nov",Log!$C:$C,2026),0)</f>
        <v>0</v>
      </c>
      <c r="N5" s="59" t="n">
        <f aca="false">IFERROR(SUMIFS(Log!$F:$F,Log!$D:$D,$A5,Log!$B:$B,"Dec",Log!$C:$C,2026),0)</f>
        <v>0</v>
      </c>
      <c r="O5" s="58" t="n">
        <f aca="false">SUM(C5:N5)</f>
        <v>2000</v>
      </c>
      <c r="P5" s="78" t="n">
        <f aca="false">$B5*12</f>
        <v>24000</v>
      </c>
      <c r="Q5" s="79" t="n">
        <f aca="false">P5-O5</f>
        <v>22000</v>
      </c>
    </row>
    <row r="6" customFormat="false" ht="16.5" hidden="false" customHeight="true" outlineLevel="0" collapsed="false">
      <c r="A6" s="9" t="s">
        <v>12</v>
      </c>
      <c r="B6" s="78" t="n">
        <f aca="false">Budget!$B$8</f>
        <v>400</v>
      </c>
      <c r="C6" s="78" t="n">
        <f aca="false">IFERROR(SUMIFS(Log!$F:$F,Log!$D:$D,$A6,Log!$B:$B,"Jan",Log!$C:$C,2026),0)</f>
        <v>0</v>
      </c>
      <c r="D6" s="78" t="n">
        <f aca="false">IFERROR(SUMIFS(Log!$F:$F,Log!$D:$D,$A6,Log!$B:$B,"Feb",Log!$C:$C,2026),0)</f>
        <v>0</v>
      </c>
      <c r="E6" s="78" t="n">
        <f aca="false">IFERROR(SUMIFS(Log!$F:$F,Log!$D:$D,$A6,Log!$B:$B,"Mar",Log!$C:$C,2026),0)</f>
        <v>0</v>
      </c>
      <c r="F6" s="78" t="n">
        <f aca="false">IFERROR(SUMIFS(Log!$F:$F,Log!$D:$D,$A6,Log!$B:$B,"Apr",Log!$C:$C,2026),0)</f>
        <v>0</v>
      </c>
      <c r="G6" s="78" t="n">
        <f aca="false">IFERROR(SUMIFS(Log!$F:$F,Log!$D:$D,$A6,Log!$B:$B,"May",Log!$C:$C,2026),0)</f>
        <v>0</v>
      </c>
      <c r="H6" s="78" t="n">
        <f aca="false">IFERROR(SUMIFS(Log!$F:$F,Log!$D:$D,$A6,Log!$B:$B,"Jun",Log!$C:$C,2026),0)</f>
        <v>0</v>
      </c>
      <c r="I6" s="78" t="n">
        <f aca="false">IFERROR(SUMIFS(Log!$F:$F,Log!$D:$D,$A6,Log!$B:$B,"Jul",Log!$C:$C,2026),0)</f>
        <v>0</v>
      </c>
      <c r="J6" s="78" t="n">
        <f aca="false">IFERROR(SUMIFS(Log!$F:$F,Log!$D:$D,$A6,Log!$B:$B,"Aug",Log!$C:$C,2026),0)</f>
        <v>0</v>
      </c>
      <c r="K6" s="78" t="n">
        <f aca="false">IFERROR(SUMIFS(Log!$F:$F,Log!$D:$D,$A6,Log!$B:$B,"Sep",Log!$C:$C,2026),0)</f>
        <v>0</v>
      </c>
      <c r="L6" s="78" t="n">
        <f aca="false">IFERROR(SUMIFS(Log!$F:$F,Log!$D:$D,$A6,Log!$B:$B,"Oct",Log!$C:$C,2026),0)</f>
        <v>0</v>
      </c>
      <c r="M6" s="78" t="n">
        <f aca="false">IFERROR(SUMIFS(Log!$F:$F,Log!$D:$D,$A6,Log!$B:$B,"Nov",Log!$C:$C,2026),0)</f>
        <v>0</v>
      </c>
      <c r="N6" s="78" t="n">
        <f aca="false">IFERROR(SUMIFS(Log!$F:$F,Log!$D:$D,$A6,Log!$B:$B,"Dec",Log!$C:$C,2026),0)</f>
        <v>0</v>
      </c>
      <c r="O6" s="58" t="n">
        <f aca="false">SUM(C6:N6)</f>
        <v>0</v>
      </c>
      <c r="P6" s="78" t="n">
        <f aca="false">$B6*12</f>
        <v>4800</v>
      </c>
      <c r="Q6" s="79" t="n">
        <f aca="false">P6-O6</f>
        <v>4800</v>
      </c>
    </row>
    <row r="7" customFormat="false" ht="16.5" hidden="false" customHeight="true" outlineLevel="0" collapsed="false">
      <c r="A7" s="9" t="s">
        <v>14</v>
      </c>
      <c r="B7" s="78" t="n">
        <f aca="false">Budget!$B$9</f>
        <v>500</v>
      </c>
      <c r="C7" s="59" t="n">
        <f aca="false">IFERROR(SUMIFS(Log!$F:$F,Log!$D:$D,$A7,Log!$B:$B,"Jan",Log!$C:$C,2026),0)</f>
        <v>0</v>
      </c>
      <c r="D7" s="59" t="n">
        <f aca="false">IFERROR(SUMIFS(Log!$F:$F,Log!$D:$D,$A7,Log!$B:$B,"Feb",Log!$C:$C,2026),0)</f>
        <v>0</v>
      </c>
      <c r="E7" s="59" t="n">
        <f aca="false">IFERROR(SUMIFS(Log!$F:$F,Log!$D:$D,$A7,Log!$B:$B,"Mar",Log!$C:$C,2026),0)</f>
        <v>0</v>
      </c>
      <c r="F7" s="59" t="n">
        <f aca="false">IFERROR(SUMIFS(Log!$F:$F,Log!$D:$D,$A7,Log!$B:$B,"Apr",Log!$C:$C,2026),0)</f>
        <v>0</v>
      </c>
      <c r="G7" s="59" t="n">
        <f aca="false">IFERROR(SUMIFS(Log!$F:$F,Log!$D:$D,$A7,Log!$B:$B,"May",Log!$C:$C,2026),0)</f>
        <v>0</v>
      </c>
      <c r="H7" s="59" t="n">
        <f aca="false">IFERROR(SUMIFS(Log!$F:$F,Log!$D:$D,$A7,Log!$B:$B,"Jun",Log!$C:$C,2026),0)</f>
        <v>0</v>
      </c>
      <c r="I7" s="59" t="n">
        <f aca="false">IFERROR(SUMIFS(Log!$F:$F,Log!$D:$D,$A7,Log!$B:$B,"Jul",Log!$C:$C,2026),0)</f>
        <v>0</v>
      </c>
      <c r="J7" s="59" t="n">
        <f aca="false">IFERROR(SUMIFS(Log!$F:$F,Log!$D:$D,$A7,Log!$B:$B,"Aug",Log!$C:$C,2026),0)</f>
        <v>0</v>
      </c>
      <c r="K7" s="59" t="n">
        <f aca="false">IFERROR(SUMIFS(Log!$F:$F,Log!$D:$D,$A7,Log!$B:$B,"Sep",Log!$C:$C,2026),0)</f>
        <v>0</v>
      </c>
      <c r="L7" s="59" t="n">
        <f aca="false">IFERROR(SUMIFS(Log!$F:$F,Log!$D:$D,$A7,Log!$B:$B,"Oct",Log!$C:$C,2026),0)</f>
        <v>0</v>
      </c>
      <c r="M7" s="59" t="n">
        <f aca="false">IFERROR(SUMIFS(Log!$F:$F,Log!$D:$D,$A7,Log!$B:$B,"Nov",Log!$C:$C,2026),0)</f>
        <v>0</v>
      </c>
      <c r="N7" s="59" t="n">
        <f aca="false">IFERROR(SUMIFS(Log!$F:$F,Log!$D:$D,$A7,Log!$B:$B,"Dec",Log!$C:$C,2026),0)</f>
        <v>0</v>
      </c>
      <c r="O7" s="58" t="n">
        <f aca="false">SUM(C7:N7)</f>
        <v>0</v>
      </c>
      <c r="P7" s="78" t="n">
        <f aca="false">$B7*12</f>
        <v>6000</v>
      </c>
      <c r="Q7" s="79" t="n">
        <f aca="false">P7-O7</f>
        <v>6000</v>
      </c>
    </row>
    <row r="8" customFormat="false" ht="16.5" hidden="false" customHeight="true" outlineLevel="0" collapsed="false">
      <c r="A8" s="22" t="s">
        <v>18</v>
      </c>
      <c r="B8" s="80" t="n">
        <f aca="false">Budget!$B$13</f>
        <v>750</v>
      </c>
      <c r="C8" s="80" t="n">
        <f aca="false">IFERROR(SUMIFS(Log!$F:$F,Log!$D:$D,$A8,Log!$B:$B,"Jan",Log!$C:$C,2026),0)</f>
        <v>0</v>
      </c>
      <c r="D8" s="80" t="n">
        <f aca="false">IFERROR(SUMIFS(Log!$F:$F,Log!$D:$D,$A8,Log!$B:$B,"Feb",Log!$C:$C,2026),0)</f>
        <v>0</v>
      </c>
      <c r="E8" s="80" t="n">
        <f aca="false">IFERROR(SUMIFS(Log!$F:$F,Log!$D:$D,$A8,Log!$B:$B,"Mar",Log!$C:$C,2026),0)</f>
        <v>0</v>
      </c>
      <c r="F8" s="80" t="n">
        <f aca="false">IFERROR(SUMIFS(Log!$F:$F,Log!$D:$D,$A8,Log!$B:$B,"Apr",Log!$C:$C,2026),0)</f>
        <v>0</v>
      </c>
      <c r="G8" s="80" t="n">
        <f aca="false">IFERROR(SUMIFS(Log!$F:$F,Log!$D:$D,$A8,Log!$B:$B,"May",Log!$C:$C,2026),0)</f>
        <v>0</v>
      </c>
      <c r="H8" s="80" t="n">
        <f aca="false">IFERROR(SUMIFS(Log!$F:$F,Log!$D:$D,$A8,Log!$B:$B,"Jun",Log!$C:$C,2026),0)</f>
        <v>0</v>
      </c>
      <c r="I8" s="80" t="n">
        <f aca="false">IFERROR(SUMIFS(Log!$F:$F,Log!$D:$D,$A8,Log!$B:$B,"Jul",Log!$C:$C,2026),0)</f>
        <v>0</v>
      </c>
      <c r="J8" s="80" t="n">
        <f aca="false">IFERROR(SUMIFS(Log!$F:$F,Log!$D:$D,$A8,Log!$B:$B,"Aug",Log!$C:$C,2026),0)</f>
        <v>0</v>
      </c>
      <c r="K8" s="80" t="n">
        <f aca="false">IFERROR(SUMIFS(Log!$F:$F,Log!$D:$D,$A8,Log!$B:$B,"Sep",Log!$C:$C,2026),0)</f>
        <v>0</v>
      </c>
      <c r="L8" s="80" t="n">
        <f aca="false">IFERROR(SUMIFS(Log!$F:$F,Log!$D:$D,$A8,Log!$B:$B,"Oct",Log!$C:$C,2026),0)</f>
        <v>0</v>
      </c>
      <c r="M8" s="80" t="n">
        <f aca="false">IFERROR(SUMIFS(Log!$F:$F,Log!$D:$D,$A8,Log!$B:$B,"Nov",Log!$C:$C,2026),0)</f>
        <v>0</v>
      </c>
      <c r="N8" s="80" t="n">
        <f aca="false">IFERROR(SUMIFS(Log!$F:$F,Log!$D:$D,$A8,Log!$B:$B,"Dec",Log!$C:$C,2026),0)</f>
        <v>0</v>
      </c>
      <c r="O8" s="58" t="n">
        <f aca="false">SUM(C8:N8)</f>
        <v>0</v>
      </c>
      <c r="P8" s="78" t="n">
        <f aca="false">$B8*12</f>
        <v>9000</v>
      </c>
      <c r="Q8" s="79" t="n">
        <f aca="false">P8-O8</f>
        <v>9000</v>
      </c>
    </row>
    <row r="9" customFormat="false" ht="16.5" hidden="false" customHeight="true" outlineLevel="0" collapsed="false">
      <c r="A9" s="22" t="s">
        <v>20</v>
      </c>
      <c r="B9" s="80" t="n">
        <f aca="false">Budget!$B$14</f>
        <v>200</v>
      </c>
      <c r="C9" s="59" t="n">
        <f aca="false">IFERROR(SUMIFS(Log!$F:$F,Log!$D:$D,$A9,Log!$B:$B,"Jan",Log!$C:$C,2026),0)</f>
        <v>0</v>
      </c>
      <c r="D9" s="59" t="n">
        <f aca="false">IFERROR(SUMIFS(Log!$F:$F,Log!$D:$D,$A9,Log!$B:$B,"Feb",Log!$C:$C,2026),0)</f>
        <v>0</v>
      </c>
      <c r="E9" s="59" t="n">
        <f aca="false">IFERROR(SUMIFS(Log!$F:$F,Log!$D:$D,$A9,Log!$B:$B,"Mar",Log!$C:$C,2026),0)</f>
        <v>0</v>
      </c>
      <c r="F9" s="59" t="n">
        <f aca="false">IFERROR(SUMIFS(Log!$F:$F,Log!$D:$D,$A9,Log!$B:$B,"Apr",Log!$C:$C,2026),0)</f>
        <v>0</v>
      </c>
      <c r="G9" s="59" t="n">
        <f aca="false">IFERROR(SUMIFS(Log!$F:$F,Log!$D:$D,$A9,Log!$B:$B,"May",Log!$C:$C,2026),0)</f>
        <v>0</v>
      </c>
      <c r="H9" s="59" t="n">
        <f aca="false">IFERROR(SUMIFS(Log!$F:$F,Log!$D:$D,$A9,Log!$B:$B,"Jun",Log!$C:$C,2026),0)</f>
        <v>0</v>
      </c>
      <c r="I9" s="59" t="n">
        <f aca="false">IFERROR(SUMIFS(Log!$F:$F,Log!$D:$D,$A9,Log!$B:$B,"Jul",Log!$C:$C,2026),0)</f>
        <v>0</v>
      </c>
      <c r="J9" s="59" t="n">
        <f aca="false">IFERROR(SUMIFS(Log!$F:$F,Log!$D:$D,$A9,Log!$B:$B,"Aug",Log!$C:$C,2026),0)</f>
        <v>0</v>
      </c>
      <c r="K9" s="59" t="n">
        <f aca="false">IFERROR(SUMIFS(Log!$F:$F,Log!$D:$D,$A9,Log!$B:$B,"Sep",Log!$C:$C,2026),0)</f>
        <v>0</v>
      </c>
      <c r="L9" s="59" t="n">
        <f aca="false">IFERROR(SUMIFS(Log!$F:$F,Log!$D:$D,$A9,Log!$B:$B,"Oct",Log!$C:$C,2026),0)</f>
        <v>0</v>
      </c>
      <c r="M9" s="59" t="n">
        <f aca="false">IFERROR(SUMIFS(Log!$F:$F,Log!$D:$D,$A9,Log!$B:$B,"Nov",Log!$C:$C,2026),0)</f>
        <v>0</v>
      </c>
      <c r="N9" s="59" t="n">
        <f aca="false">IFERROR(SUMIFS(Log!$F:$F,Log!$D:$D,$A9,Log!$B:$B,"Dec",Log!$C:$C,2026),0)</f>
        <v>0</v>
      </c>
      <c r="O9" s="58" t="n">
        <f aca="false">SUM(C9:N9)</f>
        <v>0</v>
      </c>
      <c r="P9" s="78" t="n">
        <f aca="false">$B9*12</f>
        <v>2400</v>
      </c>
      <c r="Q9" s="79" t="n">
        <f aca="false">P9-O9</f>
        <v>2400</v>
      </c>
    </row>
    <row r="10" customFormat="false" ht="16.5" hidden="false" customHeight="true" outlineLevel="0" collapsed="false">
      <c r="A10" s="22" t="s">
        <v>22</v>
      </c>
      <c r="B10" s="80" t="n">
        <f aca="false">Budget!$B$15</f>
        <v>250</v>
      </c>
      <c r="C10" s="80" t="n">
        <f aca="false">IFERROR(SUMIFS(Log!$F:$F,Log!$D:$D,$A10,Log!$B:$B,"Jan",Log!$C:$C,2026),0)</f>
        <v>0</v>
      </c>
      <c r="D10" s="80" t="n">
        <f aca="false">IFERROR(SUMIFS(Log!$F:$F,Log!$D:$D,$A10,Log!$B:$B,"Feb",Log!$C:$C,2026),0)</f>
        <v>0</v>
      </c>
      <c r="E10" s="80" t="n">
        <f aca="false">IFERROR(SUMIFS(Log!$F:$F,Log!$D:$D,$A10,Log!$B:$B,"Mar",Log!$C:$C,2026),0)</f>
        <v>0</v>
      </c>
      <c r="F10" s="80" t="n">
        <f aca="false">IFERROR(SUMIFS(Log!$F:$F,Log!$D:$D,$A10,Log!$B:$B,"Apr",Log!$C:$C,2026),0)</f>
        <v>0</v>
      </c>
      <c r="G10" s="80" t="n">
        <f aca="false">IFERROR(SUMIFS(Log!$F:$F,Log!$D:$D,$A10,Log!$B:$B,"May",Log!$C:$C,2026),0)</f>
        <v>0</v>
      </c>
      <c r="H10" s="80" t="n">
        <f aca="false">IFERROR(SUMIFS(Log!$F:$F,Log!$D:$D,$A10,Log!$B:$B,"Jun",Log!$C:$C,2026),0)</f>
        <v>0</v>
      </c>
      <c r="I10" s="80" t="n">
        <f aca="false">IFERROR(SUMIFS(Log!$F:$F,Log!$D:$D,$A10,Log!$B:$B,"Jul",Log!$C:$C,2026),0)</f>
        <v>0</v>
      </c>
      <c r="J10" s="80" t="n">
        <f aca="false">IFERROR(SUMIFS(Log!$F:$F,Log!$D:$D,$A10,Log!$B:$B,"Aug",Log!$C:$C,2026),0)</f>
        <v>0</v>
      </c>
      <c r="K10" s="80" t="n">
        <f aca="false">IFERROR(SUMIFS(Log!$F:$F,Log!$D:$D,$A10,Log!$B:$B,"Sep",Log!$C:$C,2026),0)</f>
        <v>0</v>
      </c>
      <c r="L10" s="80" t="n">
        <f aca="false">IFERROR(SUMIFS(Log!$F:$F,Log!$D:$D,$A10,Log!$B:$B,"Oct",Log!$C:$C,2026),0)</f>
        <v>0</v>
      </c>
      <c r="M10" s="80" t="n">
        <f aca="false">IFERROR(SUMIFS(Log!$F:$F,Log!$D:$D,$A10,Log!$B:$B,"Nov",Log!$C:$C,2026),0)</f>
        <v>0</v>
      </c>
      <c r="N10" s="80" t="n">
        <f aca="false">IFERROR(SUMIFS(Log!$F:$F,Log!$D:$D,$A10,Log!$B:$B,"Dec",Log!$C:$C,2026),0)</f>
        <v>0</v>
      </c>
      <c r="O10" s="58" t="n">
        <f aca="false">SUM(C10:N10)</f>
        <v>0</v>
      </c>
      <c r="P10" s="78" t="n">
        <f aca="false">$B10*12</f>
        <v>3000</v>
      </c>
      <c r="Q10" s="79" t="n">
        <f aca="false">P10-O10</f>
        <v>3000</v>
      </c>
    </row>
    <row r="11" customFormat="false" ht="16.5" hidden="false" customHeight="true" outlineLevel="0" collapsed="false">
      <c r="A11" s="31" t="s">
        <v>26</v>
      </c>
      <c r="B11" s="81" t="n">
        <f aca="false">Budget!$B$19</f>
        <v>400</v>
      </c>
      <c r="C11" s="59" t="n">
        <f aca="false">IFERROR(SUMIFS(Log!$F:$F,Log!$D:$D,$A11,Log!$B:$B,"Jan",Log!$C:$C,2026),0)</f>
        <v>0</v>
      </c>
      <c r="D11" s="59" t="n">
        <f aca="false">IFERROR(SUMIFS(Log!$F:$F,Log!$D:$D,$A11,Log!$B:$B,"Feb",Log!$C:$C,2026),0)</f>
        <v>0</v>
      </c>
      <c r="E11" s="59" t="n">
        <f aca="false">IFERROR(SUMIFS(Log!$F:$F,Log!$D:$D,$A11,Log!$B:$B,"Mar",Log!$C:$C,2026),0)</f>
        <v>0</v>
      </c>
      <c r="F11" s="59" t="n">
        <f aca="false">IFERROR(SUMIFS(Log!$F:$F,Log!$D:$D,$A11,Log!$B:$B,"Apr",Log!$C:$C,2026),0)</f>
        <v>0</v>
      </c>
      <c r="G11" s="59" t="n">
        <f aca="false">IFERROR(SUMIFS(Log!$F:$F,Log!$D:$D,$A11,Log!$B:$B,"May",Log!$C:$C,2026),0)</f>
        <v>0</v>
      </c>
      <c r="H11" s="59" t="n">
        <f aca="false">IFERROR(SUMIFS(Log!$F:$F,Log!$D:$D,$A11,Log!$B:$B,"Jun",Log!$C:$C,2026),0)</f>
        <v>0</v>
      </c>
      <c r="I11" s="59" t="n">
        <f aca="false">IFERROR(SUMIFS(Log!$F:$F,Log!$D:$D,$A11,Log!$B:$B,"Jul",Log!$C:$C,2026),0)</f>
        <v>0</v>
      </c>
      <c r="J11" s="59" t="n">
        <f aca="false">IFERROR(SUMIFS(Log!$F:$F,Log!$D:$D,$A11,Log!$B:$B,"Aug",Log!$C:$C,2026),0)</f>
        <v>0</v>
      </c>
      <c r="K11" s="59" t="n">
        <f aca="false">IFERROR(SUMIFS(Log!$F:$F,Log!$D:$D,$A11,Log!$B:$B,"Sep",Log!$C:$C,2026),0)</f>
        <v>0</v>
      </c>
      <c r="L11" s="59" t="n">
        <f aca="false">IFERROR(SUMIFS(Log!$F:$F,Log!$D:$D,$A11,Log!$B:$B,"Oct",Log!$C:$C,2026),0)</f>
        <v>0</v>
      </c>
      <c r="M11" s="59" t="n">
        <f aca="false">IFERROR(SUMIFS(Log!$F:$F,Log!$D:$D,$A11,Log!$B:$B,"Nov",Log!$C:$C,2026),0)</f>
        <v>0</v>
      </c>
      <c r="N11" s="59" t="n">
        <f aca="false">IFERROR(SUMIFS(Log!$F:$F,Log!$D:$D,$A11,Log!$B:$B,"Dec",Log!$C:$C,2026),0)</f>
        <v>0</v>
      </c>
      <c r="O11" s="58" t="n">
        <f aca="false">SUM(C11:N11)</f>
        <v>0</v>
      </c>
      <c r="P11" s="78" t="n">
        <f aca="false">$B11*12</f>
        <v>4800</v>
      </c>
      <c r="Q11" s="79" t="n">
        <f aca="false">P11-O11</f>
        <v>4800</v>
      </c>
    </row>
    <row r="12" customFormat="false" ht="16.5" hidden="false" customHeight="true" outlineLevel="0" collapsed="false">
      <c r="A12" s="31" t="s">
        <v>28</v>
      </c>
      <c r="B12" s="81" t="n">
        <f aca="false">Budget!$B$20</f>
        <v>300</v>
      </c>
      <c r="C12" s="81" t="n">
        <f aca="false">IFERROR(SUMIFS(Log!$F:$F,Log!$D:$D,$A12,Log!$B:$B,"Jan",Log!$C:$C,2026),0)</f>
        <v>0</v>
      </c>
      <c r="D12" s="81" t="n">
        <f aca="false">IFERROR(SUMIFS(Log!$F:$F,Log!$D:$D,$A12,Log!$B:$B,"Feb",Log!$C:$C,2026),0)</f>
        <v>0</v>
      </c>
      <c r="E12" s="81" t="n">
        <f aca="false">IFERROR(SUMIFS(Log!$F:$F,Log!$D:$D,$A12,Log!$B:$B,"Mar",Log!$C:$C,2026),0)</f>
        <v>0</v>
      </c>
      <c r="F12" s="81" t="n">
        <f aca="false">IFERROR(SUMIFS(Log!$F:$F,Log!$D:$D,$A12,Log!$B:$B,"Apr",Log!$C:$C,2026),0)</f>
        <v>0</v>
      </c>
      <c r="G12" s="81" t="n">
        <f aca="false">IFERROR(SUMIFS(Log!$F:$F,Log!$D:$D,$A12,Log!$B:$B,"May",Log!$C:$C,2026),0)</f>
        <v>0</v>
      </c>
      <c r="H12" s="81" t="n">
        <f aca="false">IFERROR(SUMIFS(Log!$F:$F,Log!$D:$D,$A12,Log!$B:$B,"Jun",Log!$C:$C,2026),0)</f>
        <v>0</v>
      </c>
      <c r="I12" s="81" t="n">
        <f aca="false">IFERROR(SUMIFS(Log!$F:$F,Log!$D:$D,$A12,Log!$B:$B,"Jul",Log!$C:$C,2026),0)</f>
        <v>0</v>
      </c>
      <c r="J12" s="81" t="n">
        <f aca="false">IFERROR(SUMIFS(Log!$F:$F,Log!$D:$D,$A12,Log!$B:$B,"Aug",Log!$C:$C,2026),0)</f>
        <v>0</v>
      </c>
      <c r="K12" s="81" t="n">
        <f aca="false">IFERROR(SUMIFS(Log!$F:$F,Log!$D:$D,$A12,Log!$B:$B,"Sep",Log!$C:$C,2026),0)</f>
        <v>0</v>
      </c>
      <c r="L12" s="81" t="n">
        <f aca="false">IFERROR(SUMIFS(Log!$F:$F,Log!$D:$D,$A12,Log!$B:$B,"Oct",Log!$C:$C,2026),0)</f>
        <v>0</v>
      </c>
      <c r="M12" s="81" t="n">
        <f aca="false">IFERROR(SUMIFS(Log!$F:$F,Log!$D:$D,$A12,Log!$B:$B,"Nov",Log!$C:$C,2026),0)</f>
        <v>0</v>
      </c>
      <c r="N12" s="81" t="n">
        <f aca="false">IFERROR(SUMIFS(Log!$F:$F,Log!$D:$D,$A12,Log!$B:$B,"Dec",Log!$C:$C,2026),0)</f>
        <v>0</v>
      </c>
      <c r="O12" s="58" t="n">
        <f aca="false">SUM(C12:N12)</f>
        <v>0</v>
      </c>
      <c r="P12" s="78" t="n">
        <f aca="false">$B12*12</f>
        <v>3600</v>
      </c>
      <c r="Q12" s="79" t="n">
        <f aca="false">P12-O12</f>
        <v>3600</v>
      </c>
    </row>
    <row r="13" customFormat="false" ht="16.5" hidden="false" customHeight="true" outlineLevel="0" collapsed="false">
      <c r="A13" s="40" t="s">
        <v>32</v>
      </c>
      <c r="B13" s="58" t="n">
        <f aca="false">Budget!$B$24</f>
        <v>600</v>
      </c>
      <c r="C13" s="59" t="n">
        <f aca="false">IFERROR(SUMIFS(Log!$F:$F,Log!$D:$D,$A13,Log!$B:$B,"Jan",Log!$C:$C,2026),0)</f>
        <v>0</v>
      </c>
      <c r="D13" s="59" t="n">
        <f aca="false">IFERROR(SUMIFS(Log!$F:$F,Log!$D:$D,$A13,Log!$B:$B,"Feb",Log!$C:$C,2026),0)</f>
        <v>0</v>
      </c>
      <c r="E13" s="59" t="n">
        <f aca="false">IFERROR(SUMIFS(Log!$F:$F,Log!$D:$D,$A13,Log!$B:$B,"Mar",Log!$C:$C,2026),0)</f>
        <v>0</v>
      </c>
      <c r="F13" s="59" t="n">
        <f aca="false">IFERROR(SUMIFS(Log!$F:$F,Log!$D:$D,$A13,Log!$B:$B,"Apr",Log!$C:$C,2026),0)</f>
        <v>0</v>
      </c>
      <c r="G13" s="59" t="n">
        <f aca="false">IFERROR(SUMIFS(Log!$F:$F,Log!$D:$D,$A13,Log!$B:$B,"May",Log!$C:$C,2026),0)</f>
        <v>0</v>
      </c>
      <c r="H13" s="59" t="n">
        <f aca="false">IFERROR(SUMIFS(Log!$F:$F,Log!$D:$D,$A13,Log!$B:$B,"Jun",Log!$C:$C,2026),0)</f>
        <v>0</v>
      </c>
      <c r="I13" s="59" t="n">
        <f aca="false">IFERROR(SUMIFS(Log!$F:$F,Log!$D:$D,$A13,Log!$B:$B,"Jul",Log!$C:$C,2026),0)</f>
        <v>0</v>
      </c>
      <c r="J13" s="59" t="n">
        <f aca="false">IFERROR(SUMIFS(Log!$F:$F,Log!$D:$D,$A13,Log!$B:$B,"Aug",Log!$C:$C,2026),0)</f>
        <v>0</v>
      </c>
      <c r="K13" s="59" t="n">
        <f aca="false">IFERROR(SUMIFS(Log!$F:$F,Log!$D:$D,$A13,Log!$B:$B,"Sep",Log!$C:$C,2026),0)</f>
        <v>0</v>
      </c>
      <c r="L13" s="59" t="n">
        <f aca="false">IFERROR(SUMIFS(Log!$F:$F,Log!$D:$D,$A13,Log!$B:$B,"Oct",Log!$C:$C,2026),0)</f>
        <v>0</v>
      </c>
      <c r="M13" s="59" t="n">
        <f aca="false">IFERROR(SUMIFS(Log!$F:$F,Log!$D:$D,$A13,Log!$B:$B,"Nov",Log!$C:$C,2026),0)</f>
        <v>0</v>
      </c>
      <c r="N13" s="59" t="n">
        <f aca="false">IFERROR(SUMIFS(Log!$F:$F,Log!$D:$D,$A13,Log!$B:$B,"Dec",Log!$C:$C,2026),0)</f>
        <v>0</v>
      </c>
      <c r="O13" s="58" t="n">
        <f aca="false">SUM(C13:N13)</f>
        <v>0</v>
      </c>
      <c r="P13" s="78" t="n">
        <f aca="false">$B13*12</f>
        <v>7200</v>
      </c>
      <c r="Q13" s="79" t="n">
        <f aca="false">P13-O13</f>
        <v>7200</v>
      </c>
    </row>
    <row r="14" customFormat="false" ht="16.5" hidden="false" customHeight="true" outlineLevel="0" collapsed="false">
      <c r="A14" s="40" t="s">
        <v>34</v>
      </c>
      <c r="B14" s="58" t="n">
        <f aca="false">Budget!$B$25</f>
        <v>1462.36</v>
      </c>
      <c r="C14" s="58" t="n">
        <f aca="false">IFERROR(SUMIFS(Log!$F:$F,Log!$D:$D,$A14,Log!$B:$B,"Jan",Log!$C:$C,2026),0)</f>
        <v>0</v>
      </c>
      <c r="D14" s="58" t="n">
        <f aca="false">IFERROR(SUMIFS(Log!$F:$F,Log!$D:$D,$A14,Log!$B:$B,"Feb",Log!$C:$C,2026),0)</f>
        <v>0</v>
      </c>
      <c r="E14" s="58" t="n">
        <f aca="false">IFERROR(SUMIFS(Log!$F:$F,Log!$D:$D,$A14,Log!$B:$B,"Mar",Log!$C:$C,2026),0)</f>
        <v>0</v>
      </c>
      <c r="F14" s="58" t="n">
        <f aca="false">IFERROR(SUMIFS(Log!$F:$F,Log!$D:$D,$A14,Log!$B:$B,"Apr",Log!$C:$C,2026),0)</f>
        <v>0</v>
      </c>
      <c r="G14" s="58" t="n">
        <f aca="false">IFERROR(SUMIFS(Log!$F:$F,Log!$D:$D,$A14,Log!$B:$B,"May",Log!$C:$C,2026),0)</f>
        <v>0</v>
      </c>
      <c r="H14" s="58" t="n">
        <f aca="false">IFERROR(SUMIFS(Log!$F:$F,Log!$D:$D,$A14,Log!$B:$B,"Jun",Log!$C:$C,2026),0)</f>
        <v>0</v>
      </c>
      <c r="I14" s="58" t="n">
        <f aca="false">IFERROR(SUMIFS(Log!$F:$F,Log!$D:$D,$A14,Log!$B:$B,"Jul",Log!$C:$C,2026),0)</f>
        <v>0</v>
      </c>
      <c r="J14" s="58" t="n">
        <f aca="false">IFERROR(SUMIFS(Log!$F:$F,Log!$D:$D,$A14,Log!$B:$B,"Aug",Log!$C:$C,2026),0)</f>
        <v>0</v>
      </c>
      <c r="K14" s="58" t="n">
        <f aca="false">IFERROR(SUMIFS(Log!$F:$F,Log!$D:$D,$A14,Log!$B:$B,"Sep",Log!$C:$C,2026),0)</f>
        <v>0</v>
      </c>
      <c r="L14" s="58" t="n">
        <f aca="false">IFERROR(SUMIFS(Log!$F:$F,Log!$D:$D,$A14,Log!$B:$B,"Oct",Log!$C:$C,2026),0)</f>
        <v>0</v>
      </c>
      <c r="M14" s="58" t="n">
        <f aca="false">IFERROR(SUMIFS(Log!$F:$F,Log!$D:$D,$A14,Log!$B:$B,"Nov",Log!$C:$C,2026),0)</f>
        <v>0</v>
      </c>
      <c r="N14" s="58" t="n">
        <f aca="false">IFERROR(SUMIFS(Log!$F:$F,Log!$D:$D,$A14,Log!$B:$B,"Dec",Log!$C:$C,2026),0)</f>
        <v>0</v>
      </c>
      <c r="O14" s="58" t="n">
        <f aca="false">SUM(C14:N14)</f>
        <v>0</v>
      </c>
      <c r="P14" s="78" t="n">
        <f aca="false">$B14*12</f>
        <v>17548.32</v>
      </c>
      <c r="Q14" s="79" t="n">
        <f aca="false">P14-O14</f>
        <v>17548.32</v>
      </c>
    </row>
    <row r="15" customFormat="false" ht="16.5" hidden="false" customHeight="true" outlineLevel="0" collapsed="false">
      <c r="A15" s="82" t="s">
        <v>71</v>
      </c>
      <c r="B15" s="83" t="n">
        <f aca="false">0</f>
        <v>0</v>
      </c>
      <c r="C15" s="59" t="n">
        <f aca="false">IFERROR(SUMIFS(Log!$F:$F,Log!$D:$D,$A15,Log!$B:$B,"Jan",Log!$C:$C,2026),0)</f>
        <v>0</v>
      </c>
      <c r="D15" s="59" t="n">
        <f aca="false">IFERROR(SUMIFS(Log!$F:$F,Log!$D:$D,$A15,Log!$B:$B,"Feb",Log!$C:$C,2026),0)</f>
        <v>0</v>
      </c>
      <c r="E15" s="59" t="n">
        <f aca="false">IFERROR(SUMIFS(Log!$F:$F,Log!$D:$D,$A15,Log!$B:$B,"Mar",Log!$C:$C,2026),0)</f>
        <v>0</v>
      </c>
      <c r="F15" s="59" t="n">
        <f aca="false">IFERROR(SUMIFS(Log!$F:$F,Log!$D:$D,$A15,Log!$B:$B,"Apr",Log!$C:$C,2026),0)</f>
        <v>0</v>
      </c>
      <c r="G15" s="59" t="n">
        <f aca="false">IFERROR(SUMIFS(Log!$F:$F,Log!$D:$D,$A15,Log!$B:$B,"May",Log!$C:$C,2026),0)</f>
        <v>0</v>
      </c>
      <c r="H15" s="59" t="n">
        <f aca="false">IFERROR(SUMIFS(Log!$F:$F,Log!$D:$D,$A15,Log!$B:$B,"Jun",Log!$C:$C,2026),0)</f>
        <v>0</v>
      </c>
      <c r="I15" s="59" t="n">
        <f aca="false">IFERROR(SUMIFS(Log!$F:$F,Log!$D:$D,$A15,Log!$B:$B,"Jul",Log!$C:$C,2026),0)</f>
        <v>0</v>
      </c>
      <c r="J15" s="59" t="n">
        <f aca="false">IFERROR(SUMIFS(Log!$F:$F,Log!$D:$D,$A15,Log!$B:$B,"Aug",Log!$C:$C,2026),0)</f>
        <v>0</v>
      </c>
      <c r="K15" s="59" t="n">
        <f aca="false">IFERROR(SUMIFS(Log!$F:$F,Log!$D:$D,$A15,Log!$B:$B,"Sep",Log!$C:$C,2026),0)</f>
        <v>0</v>
      </c>
      <c r="L15" s="59" t="n">
        <f aca="false">IFERROR(SUMIFS(Log!$F:$F,Log!$D:$D,$A15,Log!$B:$B,"Oct",Log!$C:$C,2026),0)</f>
        <v>0</v>
      </c>
      <c r="M15" s="59" t="n">
        <f aca="false">IFERROR(SUMIFS(Log!$F:$F,Log!$D:$D,$A15,Log!$B:$B,"Nov",Log!$C:$C,2026),0)</f>
        <v>0</v>
      </c>
      <c r="N15" s="59" t="n">
        <f aca="false">IFERROR(SUMIFS(Log!$F:$F,Log!$D:$D,$A15,Log!$B:$B,"Dec",Log!$C:$C,2026),0)</f>
        <v>0</v>
      </c>
      <c r="O15" s="58" t="n">
        <f aca="false">SUM(C15:N15)</f>
        <v>0</v>
      </c>
      <c r="P15" s="78" t="n">
        <f aca="false">$B15*12</f>
        <v>0</v>
      </c>
      <c r="Q15" s="79" t="n">
        <f aca="false">P15-O15</f>
        <v>0</v>
      </c>
    </row>
    <row r="16" customFormat="false" ht="21.75" hidden="false" customHeight="true" outlineLevel="0" collapsed="false">
      <c r="A16" s="84" t="s">
        <v>72</v>
      </c>
      <c r="B16" s="85" t="n">
        <f aca="false">SUM(B4:B15)</f>
        <v>7862.36</v>
      </c>
      <c r="C16" s="85" t="n">
        <f aca="false">SUM(C4:C15)</f>
        <v>0</v>
      </c>
      <c r="D16" s="85" t="n">
        <f aca="false">SUM(D4:D15)</f>
        <v>0</v>
      </c>
      <c r="E16" s="85" t="n">
        <f aca="false">SUM(E4:E15)</f>
        <v>0</v>
      </c>
      <c r="F16" s="85" t="n">
        <f aca="false">SUM(F4:F15)</f>
        <v>0</v>
      </c>
      <c r="G16" s="85" t="n">
        <f aca="false">SUM(G4:G15)</f>
        <v>0</v>
      </c>
      <c r="H16" s="85" t="n">
        <f aca="false">SUM(H4:H15)</f>
        <v>2000</v>
      </c>
      <c r="I16" s="85" t="n">
        <f aca="false">SUM(I4:I15)</f>
        <v>0</v>
      </c>
      <c r="J16" s="85" t="n">
        <f aca="false">SUM(J4:J15)</f>
        <v>0</v>
      </c>
      <c r="K16" s="85" t="n">
        <f aca="false">SUM(K4:K15)</f>
        <v>0</v>
      </c>
      <c r="L16" s="85" t="n">
        <f aca="false">SUM(L4:L15)</f>
        <v>0</v>
      </c>
      <c r="M16" s="85" t="n">
        <f aca="false">SUM(M4:M15)</f>
        <v>0</v>
      </c>
      <c r="N16" s="85" t="n">
        <f aca="false">SUM(N4:N15)</f>
        <v>0</v>
      </c>
      <c r="O16" s="86" t="n">
        <f aca="false">SUM(O4:O15)</f>
        <v>2000</v>
      </c>
      <c r="P16" s="86" t="n">
        <f aca="false">SUM(P4:P15)</f>
        <v>94348.32</v>
      </c>
      <c r="Q16" s="86" t="n">
        <f aca="false">SUM(Q4:Q15)</f>
        <v>92348.32</v>
      </c>
    </row>
    <row r="17" customFormat="false" ht="18" hidden="false" customHeight="true" outlineLevel="0" collapsed="false">
      <c r="A17" s="87" t="s">
        <v>73</v>
      </c>
      <c r="B17" s="88" t="n">
        <f aca="false">Budget!$B$2</f>
        <v>7862.36</v>
      </c>
      <c r="C17" s="78" t="n">
        <f aca="false">Budget!$B$2</f>
        <v>7862.36</v>
      </c>
      <c r="D17" s="78" t="n">
        <f aca="false">Budget!$B$2</f>
        <v>7862.36</v>
      </c>
      <c r="E17" s="78" t="n">
        <f aca="false">Budget!$B$2</f>
        <v>7862.36</v>
      </c>
      <c r="F17" s="78" t="n">
        <f aca="false">Budget!$B$2</f>
        <v>7862.36</v>
      </c>
      <c r="G17" s="78" t="n">
        <f aca="false">Budget!$B$2</f>
        <v>7862.36</v>
      </c>
      <c r="H17" s="78" t="n">
        <f aca="false">Budget!$B$2</f>
        <v>7862.36</v>
      </c>
      <c r="I17" s="78" t="n">
        <f aca="false">Budget!$B$2</f>
        <v>7862.36</v>
      </c>
      <c r="J17" s="78" t="n">
        <f aca="false">Budget!$B$2</f>
        <v>7862.36</v>
      </c>
      <c r="K17" s="78" t="n">
        <f aca="false">Budget!$B$2</f>
        <v>7862.36</v>
      </c>
      <c r="L17" s="78" t="n">
        <f aca="false">Budget!$B$2</f>
        <v>7862.36</v>
      </c>
      <c r="M17" s="78" t="n">
        <f aca="false">Budget!$B$2</f>
        <v>7862.36</v>
      </c>
      <c r="N17" s="78" t="n">
        <f aca="false">Budget!$B$2</f>
        <v>7862.36</v>
      </c>
      <c r="O17" s="89"/>
      <c r="P17" s="89"/>
      <c r="Q17" s="89"/>
    </row>
    <row r="18" customFormat="false" ht="18" hidden="false" customHeight="true" outlineLevel="0" collapsed="false">
      <c r="A18" s="90" t="s">
        <v>74</v>
      </c>
      <c r="B18" s="91"/>
      <c r="C18" s="80" t="n">
        <f aca="false">IF(C17=0,"",C17-C16)</f>
        <v>7862.36</v>
      </c>
      <c r="D18" s="80" t="n">
        <f aca="false">IF(D17=0,"",D17-D16)</f>
        <v>7862.36</v>
      </c>
      <c r="E18" s="80" t="n">
        <f aca="false">IF(E17=0,"",E17-E16)</f>
        <v>7862.36</v>
      </c>
      <c r="F18" s="80" t="n">
        <f aca="false">IF(F17=0,"",F17-F16)</f>
        <v>7862.36</v>
      </c>
      <c r="G18" s="80" t="n">
        <f aca="false">IF(G17=0,"",G17-G16)</f>
        <v>7862.36</v>
      </c>
      <c r="H18" s="80" t="n">
        <f aca="false">IF(H17=0,"",H17-H16)</f>
        <v>5862.36</v>
      </c>
      <c r="I18" s="80" t="n">
        <f aca="false">IF(I17=0,"",I17-I16)</f>
        <v>7862.36</v>
      </c>
      <c r="J18" s="80" t="n">
        <f aca="false">IF(J17=0,"",J17-J16)</f>
        <v>7862.36</v>
      </c>
      <c r="K18" s="80" t="n">
        <f aca="false">IF(K17=0,"",K17-K16)</f>
        <v>7862.36</v>
      </c>
      <c r="L18" s="80" t="n">
        <f aca="false">IF(L17=0,"",L17-L16)</f>
        <v>7862.36</v>
      </c>
      <c r="M18" s="80" t="n">
        <f aca="false">IF(M17=0,"",M17-M16)</f>
        <v>7862.36</v>
      </c>
      <c r="N18" s="80" t="n">
        <f aca="false">IF(N17=0,"",N17-N16)</f>
        <v>7862.36</v>
      </c>
      <c r="O18" s="91"/>
      <c r="P18" s="91"/>
      <c r="Q18" s="91"/>
    </row>
    <row r="20" customFormat="false" ht="6" hidden="false" customHeight="true" outlineLevel="0" collapsed="false"/>
    <row r="21" customFormat="false" ht="25.5" hidden="false" customHeight="true" outlineLevel="0" collapsed="false">
      <c r="A21" s="92" t="s">
        <v>75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</row>
  </sheetData>
  <mergeCells count="2">
    <mergeCell ref="A1:Q1"/>
    <mergeCell ref="A21:Q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5FA5"/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6"/>
  </cols>
  <sheetData>
    <row r="1" customFormat="false" ht="31.5" hidden="false" customHeight="true" outlineLevel="0" collapsed="false">
      <c r="A1" s="93" t="s">
        <v>76</v>
      </c>
      <c r="B1" s="93"/>
      <c r="C1" s="93"/>
      <c r="D1" s="93"/>
      <c r="E1" s="93"/>
      <c r="F1" s="93"/>
      <c r="G1" s="93"/>
      <c r="H1" s="93"/>
    </row>
    <row r="2" customFormat="false" ht="6" hidden="false" customHeight="true" outlineLevel="0" collapsed="false"/>
    <row r="3" customFormat="false" ht="18" hidden="false" customHeight="true" outlineLevel="0" collapsed="false">
      <c r="A3" s="7" t="s">
        <v>49</v>
      </c>
      <c r="B3" s="94" t="s">
        <v>10</v>
      </c>
      <c r="C3" s="94"/>
      <c r="D3" s="95" t="s">
        <v>32</v>
      </c>
      <c r="E3" s="95"/>
      <c r="F3" s="96" t="s">
        <v>34</v>
      </c>
      <c r="G3" s="96"/>
      <c r="H3" s="97" t="s">
        <v>77</v>
      </c>
    </row>
    <row r="4" customFormat="false" ht="15.75" hidden="false" customHeight="true" outlineLevel="0" collapsed="false">
      <c r="A4" s="75" t="s">
        <v>49</v>
      </c>
      <c r="B4" s="98" t="s">
        <v>78</v>
      </c>
      <c r="C4" s="99" t="s">
        <v>79</v>
      </c>
      <c r="D4" s="100" t="s">
        <v>78</v>
      </c>
      <c r="E4" s="101" t="s">
        <v>79</v>
      </c>
      <c r="F4" s="102" t="s">
        <v>78</v>
      </c>
      <c r="G4" s="57" t="s">
        <v>79</v>
      </c>
      <c r="H4" s="77" t="s">
        <v>80</v>
      </c>
    </row>
    <row r="5" customFormat="false" ht="18" hidden="false" customHeight="true" outlineLevel="0" collapsed="false">
      <c r="A5" s="103" t="s">
        <v>56</v>
      </c>
      <c r="B5" s="10" t="n">
        <f aca="false">Budget!$B$7</f>
        <v>2000</v>
      </c>
      <c r="C5" s="78" t="n">
        <f aca="false">B5</f>
        <v>2000</v>
      </c>
      <c r="D5" s="10" t="n">
        <f aca="false">Budget!$B$24</f>
        <v>600</v>
      </c>
      <c r="E5" s="80" t="n">
        <f aca="false">D5</f>
        <v>600</v>
      </c>
      <c r="F5" s="10" t="n">
        <f aca="false">Budget!$B$25</f>
        <v>1462.36</v>
      </c>
      <c r="G5" s="58" t="n">
        <f aca="false">F5</f>
        <v>1462.36</v>
      </c>
      <c r="H5" s="45" t="n">
        <f aca="false">C5+E5+G5</f>
        <v>4062.36</v>
      </c>
    </row>
    <row r="6" customFormat="false" ht="18" hidden="false" customHeight="true" outlineLevel="0" collapsed="false">
      <c r="A6" s="104" t="s">
        <v>57</v>
      </c>
      <c r="B6" s="14" t="n">
        <f aca="false">Budget!$B$7</f>
        <v>2000</v>
      </c>
      <c r="C6" s="78" t="n">
        <f aca="false">C5+B6</f>
        <v>4000</v>
      </c>
      <c r="D6" s="14" t="n">
        <f aca="false">Budget!$B$24</f>
        <v>600</v>
      </c>
      <c r="E6" s="80" t="n">
        <f aca="false">E5+D6</f>
        <v>1200</v>
      </c>
      <c r="F6" s="14" t="n">
        <f aca="false">Budget!$B$25</f>
        <v>1462.36</v>
      </c>
      <c r="G6" s="58" t="n">
        <f aca="false">G5+F6</f>
        <v>2924.72</v>
      </c>
      <c r="H6" s="45" t="n">
        <f aca="false">C6+E6+G6</f>
        <v>8124.72</v>
      </c>
    </row>
    <row r="7" customFormat="false" ht="18" hidden="false" customHeight="true" outlineLevel="0" collapsed="false">
      <c r="A7" s="103" t="s">
        <v>58</v>
      </c>
      <c r="B7" s="10" t="n">
        <f aca="false">Budget!$B$7</f>
        <v>2000</v>
      </c>
      <c r="C7" s="78" t="n">
        <f aca="false">C6+B7</f>
        <v>6000</v>
      </c>
      <c r="D7" s="10" t="n">
        <f aca="false">Budget!$B$24</f>
        <v>600</v>
      </c>
      <c r="E7" s="80" t="n">
        <f aca="false">E6+D7</f>
        <v>1800</v>
      </c>
      <c r="F7" s="10" t="n">
        <f aca="false">Budget!$B$25</f>
        <v>1462.36</v>
      </c>
      <c r="G7" s="58" t="n">
        <f aca="false">G6+F7</f>
        <v>4387.08</v>
      </c>
      <c r="H7" s="45" t="n">
        <f aca="false">C7+E7+G7</f>
        <v>12187.08</v>
      </c>
    </row>
    <row r="8" customFormat="false" ht="18" hidden="false" customHeight="true" outlineLevel="0" collapsed="false">
      <c r="A8" s="104" t="s">
        <v>59</v>
      </c>
      <c r="B8" s="14" t="n">
        <f aca="false">Budget!$B$7</f>
        <v>2000</v>
      </c>
      <c r="C8" s="78" t="n">
        <f aca="false">C7+B8</f>
        <v>8000</v>
      </c>
      <c r="D8" s="14" t="n">
        <f aca="false">Budget!$B$24</f>
        <v>600</v>
      </c>
      <c r="E8" s="80" t="n">
        <f aca="false">E7+D8</f>
        <v>2400</v>
      </c>
      <c r="F8" s="14" t="n">
        <f aca="false">Budget!$B$25</f>
        <v>1462.36</v>
      </c>
      <c r="G8" s="58" t="n">
        <f aca="false">G7+F8</f>
        <v>5849.44</v>
      </c>
      <c r="H8" s="45" t="n">
        <f aca="false">C8+E8+G8</f>
        <v>16249.44</v>
      </c>
    </row>
    <row r="9" customFormat="false" ht="18" hidden="false" customHeight="true" outlineLevel="0" collapsed="false">
      <c r="A9" s="103" t="s">
        <v>60</v>
      </c>
      <c r="B9" s="10" t="n">
        <f aca="false">Budget!$B$7</f>
        <v>2000</v>
      </c>
      <c r="C9" s="78" t="n">
        <f aca="false">C8+B9</f>
        <v>10000</v>
      </c>
      <c r="D9" s="10" t="n">
        <f aca="false">Budget!$B$24</f>
        <v>600</v>
      </c>
      <c r="E9" s="80" t="n">
        <f aca="false">E8+D9</f>
        <v>3000</v>
      </c>
      <c r="F9" s="10" t="n">
        <f aca="false">Budget!$B$25</f>
        <v>1462.36</v>
      </c>
      <c r="G9" s="58" t="n">
        <f aca="false">G8+F9</f>
        <v>7311.8</v>
      </c>
      <c r="H9" s="45" t="n">
        <f aca="false">C9+E9+G9</f>
        <v>20311.8</v>
      </c>
    </row>
    <row r="10" customFormat="false" ht="18" hidden="false" customHeight="true" outlineLevel="0" collapsed="false">
      <c r="A10" s="104" t="s">
        <v>61</v>
      </c>
      <c r="B10" s="14" t="n">
        <f aca="false">Budget!$B$7</f>
        <v>2000</v>
      </c>
      <c r="C10" s="78" t="n">
        <f aca="false">C9+B10</f>
        <v>12000</v>
      </c>
      <c r="D10" s="14" t="n">
        <f aca="false">Budget!$B$24</f>
        <v>600</v>
      </c>
      <c r="E10" s="80" t="n">
        <f aca="false">E9+D10</f>
        <v>3600</v>
      </c>
      <c r="F10" s="14" t="n">
        <f aca="false">Budget!$B$25</f>
        <v>1462.36</v>
      </c>
      <c r="G10" s="58" t="n">
        <f aca="false">G9+F10</f>
        <v>8774.16</v>
      </c>
      <c r="H10" s="45" t="n">
        <f aca="false">C10+E10+G10</f>
        <v>24374.16</v>
      </c>
    </row>
    <row r="11" customFormat="false" ht="18" hidden="false" customHeight="true" outlineLevel="0" collapsed="false">
      <c r="A11" s="103" t="s">
        <v>62</v>
      </c>
      <c r="B11" s="10" t="n">
        <f aca="false">Budget!$B$7</f>
        <v>2000</v>
      </c>
      <c r="C11" s="78" t="n">
        <f aca="false">C10+B11</f>
        <v>14000</v>
      </c>
      <c r="D11" s="10" t="n">
        <f aca="false">Budget!$B$24</f>
        <v>600</v>
      </c>
      <c r="E11" s="80" t="n">
        <f aca="false">E10+D11</f>
        <v>4200</v>
      </c>
      <c r="F11" s="10" t="n">
        <f aca="false">Budget!$B$25</f>
        <v>1462.36</v>
      </c>
      <c r="G11" s="58" t="n">
        <f aca="false">G10+F11</f>
        <v>10236.52</v>
      </c>
      <c r="H11" s="45" t="n">
        <f aca="false">C11+E11+G11</f>
        <v>28436.52</v>
      </c>
    </row>
    <row r="12" customFormat="false" ht="18" hidden="false" customHeight="true" outlineLevel="0" collapsed="false">
      <c r="A12" s="104" t="s">
        <v>63</v>
      </c>
      <c r="B12" s="14" t="n">
        <f aca="false">Budget!$B$7</f>
        <v>2000</v>
      </c>
      <c r="C12" s="78" t="n">
        <f aca="false">C11+B12</f>
        <v>16000</v>
      </c>
      <c r="D12" s="14" t="n">
        <f aca="false">Budget!$B$24</f>
        <v>600</v>
      </c>
      <c r="E12" s="80" t="n">
        <f aca="false">E11+D12</f>
        <v>4800</v>
      </c>
      <c r="F12" s="14" t="n">
        <f aca="false">Budget!$B$25</f>
        <v>1462.36</v>
      </c>
      <c r="G12" s="58" t="n">
        <f aca="false">G11+F12</f>
        <v>11698.88</v>
      </c>
      <c r="H12" s="45" t="n">
        <f aca="false">C12+E12+G12</f>
        <v>32498.88</v>
      </c>
    </row>
    <row r="13" customFormat="false" ht="18" hidden="false" customHeight="true" outlineLevel="0" collapsed="false">
      <c r="A13" s="103" t="s">
        <v>64</v>
      </c>
      <c r="B13" s="10" t="n">
        <f aca="false">Budget!$B$7</f>
        <v>2000</v>
      </c>
      <c r="C13" s="78" t="n">
        <f aca="false">C12+B13</f>
        <v>18000</v>
      </c>
      <c r="D13" s="10" t="n">
        <f aca="false">Budget!$B$24</f>
        <v>600</v>
      </c>
      <c r="E13" s="80" t="n">
        <f aca="false">E12+D13</f>
        <v>5400</v>
      </c>
      <c r="F13" s="10" t="n">
        <f aca="false">Budget!$B$25</f>
        <v>1462.36</v>
      </c>
      <c r="G13" s="58" t="n">
        <f aca="false">G12+F13</f>
        <v>13161.24</v>
      </c>
      <c r="H13" s="45" t="n">
        <f aca="false">C13+E13+G13</f>
        <v>36561.24</v>
      </c>
    </row>
    <row r="14" customFormat="false" ht="18" hidden="false" customHeight="true" outlineLevel="0" collapsed="false">
      <c r="A14" s="104" t="s">
        <v>65</v>
      </c>
      <c r="B14" s="14" t="n">
        <f aca="false">Budget!$B$7</f>
        <v>2000</v>
      </c>
      <c r="C14" s="78" t="n">
        <f aca="false">C13+B14</f>
        <v>20000</v>
      </c>
      <c r="D14" s="14" t="n">
        <f aca="false">Budget!$B$24</f>
        <v>600</v>
      </c>
      <c r="E14" s="80" t="n">
        <f aca="false">E13+D14</f>
        <v>6000</v>
      </c>
      <c r="F14" s="14" t="n">
        <f aca="false">Budget!$B$25</f>
        <v>1462.36</v>
      </c>
      <c r="G14" s="58" t="n">
        <f aca="false">G13+F14</f>
        <v>14623.6</v>
      </c>
      <c r="H14" s="45" t="n">
        <f aca="false">C14+E14+G14</f>
        <v>40623.6</v>
      </c>
    </row>
    <row r="15" customFormat="false" ht="18" hidden="false" customHeight="true" outlineLevel="0" collapsed="false">
      <c r="A15" s="103" t="s">
        <v>66</v>
      </c>
      <c r="B15" s="10" t="n">
        <f aca="false">Budget!$B$7</f>
        <v>2000</v>
      </c>
      <c r="C15" s="78" t="n">
        <f aca="false">C14+B15</f>
        <v>22000</v>
      </c>
      <c r="D15" s="10" t="n">
        <f aca="false">Budget!$B$24</f>
        <v>600</v>
      </c>
      <c r="E15" s="80" t="n">
        <f aca="false">E14+D15</f>
        <v>6600</v>
      </c>
      <c r="F15" s="10" t="n">
        <f aca="false">Budget!$B$25</f>
        <v>1462.36</v>
      </c>
      <c r="G15" s="58" t="n">
        <f aca="false">G14+F15</f>
        <v>16085.96</v>
      </c>
      <c r="H15" s="45" t="n">
        <f aca="false">C15+E15+G15</f>
        <v>44685.96</v>
      </c>
    </row>
    <row r="16" customFormat="false" ht="18" hidden="false" customHeight="true" outlineLevel="0" collapsed="false">
      <c r="A16" s="104" t="s">
        <v>67</v>
      </c>
      <c r="B16" s="14" t="n">
        <f aca="false">Budget!$B$7</f>
        <v>2000</v>
      </c>
      <c r="C16" s="78" t="n">
        <f aca="false">C15+B16</f>
        <v>24000</v>
      </c>
      <c r="D16" s="14" t="n">
        <f aca="false">Budget!$B$24</f>
        <v>600</v>
      </c>
      <c r="E16" s="80" t="n">
        <f aca="false">E15+D16</f>
        <v>7200</v>
      </c>
      <c r="F16" s="14" t="n">
        <f aca="false">Budget!$B$25</f>
        <v>1462.36</v>
      </c>
      <c r="G16" s="58" t="n">
        <f aca="false">G15+F16</f>
        <v>17548.32</v>
      </c>
      <c r="H16" s="45" t="n">
        <f aca="false">C16+E16+G16</f>
        <v>48748.32</v>
      </c>
    </row>
    <row r="17" customFormat="false" ht="21.75" hidden="false" customHeight="true" outlineLevel="0" collapsed="false">
      <c r="A17" s="97" t="s">
        <v>81</v>
      </c>
      <c r="B17" s="18" t="n">
        <f aca="false">SUM(B5:B16)</f>
        <v>24000</v>
      </c>
      <c r="C17" s="18" t="n">
        <f aca="false">C16</f>
        <v>24000</v>
      </c>
      <c r="D17" s="27" t="n">
        <f aca="false">SUM(D5:D16)</f>
        <v>7200</v>
      </c>
      <c r="E17" s="27" t="n">
        <f aca="false">E16</f>
        <v>7200</v>
      </c>
      <c r="F17" s="45" t="n">
        <f aca="false">SUM(F5:F16)</f>
        <v>17548.32</v>
      </c>
      <c r="G17" s="45" t="n">
        <f aca="false">G16</f>
        <v>17548.32</v>
      </c>
      <c r="H17" s="86" t="n">
        <f aca="false">H16</f>
        <v>48748.32</v>
      </c>
    </row>
    <row r="18" customFormat="false" ht="6" hidden="false" customHeight="true" outlineLevel="0" collapsed="false"/>
    <row r="19" customFormat="false" ht="27.75" hidden="false" customHeight="true" outlineLevel="0" collapsed="false">
      <c r="A19" s="105" t="s">
        <v>82</v>
      </c>
      <c r="B19" s="105"/>
      <c r="C19" s="105"/>
      <c r="D19" s="105"/>
      <c r="E19" s="105"/>
      <c r="F19" s="105"/>
      <c r="G19" s="105"/>
      <c r="H19" s="105"/>
    </row>
    <row r="20" customFormat="false" ht="6" hidden="false" customHeight="true" outlineLevel="0" collapsed="false"/>
    <row r="21" customFormat="false" ht="21.75" hidden="false" customHeight="true" outlineLevel="0" collapsed="false">
      <c r="A21" s="92" t="s">
        <v>83</v>
      </c>
      <c r="B21" s="92"/>
      <c r="C21" s="92"/>
      <c r="D21" s="92"/>
      <c r="E21" s="92"/>
      <c r="F21" s="92"/>
      <c r="G21" s="92"/>
      <c r="H21" s="92"/>
    </row>
  </sheetData>
  <mergeCells count="6">
    <mergeCell ref="A1:H1"/>
    <mergeCell ref="B3:C3"/>
    <mergeCell ref="D3:E3"/>
    <mergeCell ref="F3:G3"/>
    <mergeCell ref="A19:H19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2026-06-22T17:14:23Z</dcterms:created>
  <dc:creator>openpyxl</dc:creator>
  <dc:description/>
  <dc:language>en-US</dc:language>
  <cp:lastModifiedBy/>
  <dcterms:modified xsi:type="dcterms:W3CDTF">2026-06-22T17:14:23Z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